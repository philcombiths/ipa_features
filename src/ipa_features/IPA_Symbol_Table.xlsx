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ombiths\Documents\github\ipa_features\src\ipa_features\"/>
    </mc:Choice>
  </mc:AlternateContent>
  <xr:revisionPtr revIDLastSave="0" documentId="13_ncr:1_{DA680E07-42C4-455B-A489-FCC2DB711B3C}" xr6:coauthVersionLast="47" xr6:coauthVersionMax="47" xr10:uidLastSave="{00000000-0000-0000-0000-000000000000}"/>
  <bookViews>
    <workbookView xWindow="76680" yWindow="-3255" windowWidth="29040" windowHeight="15720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4" i="1" l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<sst xmlns="http://schemas.openxmlformats.org/spreadsheetml/2006/main" count="3910" uniqueCount="1245">
  <si>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</si>
  <si>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</si>
  <si>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</si>
  <si>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</si>
  <si>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</si>
  <si>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</si>
  <si>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</si>
  <si>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</si>
  <si>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</si>
  <si>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</si>
  <si>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</si>
  <si>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</si>
  <si>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</si>
  <si>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</si>
  <si>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</si>
  <si>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</si>
  <si>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</si>
  <si>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</si>
  <si>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</si>
  <si>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</si>
  <si>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</si>
  <si>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</si>
  <si>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</si>
  <si>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</si>
  <si>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</si>
  <si>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</si>
  <si>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</si>
  <si>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</si>
  <si>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</si>
  <si>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</si>
  <si>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</si>
  <si>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</si>
  <si>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</si>
  <si>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</si>
  <si>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</si>
  <si>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</si>
  <si>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</si>
  <si>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</si>
  <si>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</si>
  <si>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</si>
  <si>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</si>
  <si>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</si>
  <si>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</si>
  <si>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</si>
  <si>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</si>
  <si>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</si>
  <si>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</si>
  <si>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</si>
  <si>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</si>
  <si>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</si>
  <si>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</si>
  <si>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</si>
  <si>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</si>
  <si>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</si>
  <si>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</si>
  <si>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</si>
  <si>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</si>
  <si>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</si>
  <si>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</si>
  <si>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</si>
  <si>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</si>
  <si>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</si>
  <si>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</si>
  <si>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</si>
  <si>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</si>
  <si>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</si>
  <si>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</si>
  <si>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</si>
  <si>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</si>
  <si>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</si>
  <si>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</si>
  <si>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</si>
  <si>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</si>
  <si>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</si>
  <si>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</si>
  <si>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</si>
  <si>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</si>
  <si>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</si>
  <si>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</si>
  <si>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</si>
  <si>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</si>
  <si>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</si>
  <si>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</si>
  <si>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</si>
  <si>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</si>
  <si>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</si>
  <si>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</si>
  <si>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</si>
  <si>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</si>
  <si>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</si>
  <si>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</si>
  <si>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</si>
  <si>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</si>
  <si>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</si>
  <si>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</si>
  <si>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</si>
  <si>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</si>
  <si>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</si>
  <si>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</si>
  <si>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</si>
  <si>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</si>
  <si>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</si>
  <si>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</si>
  <si>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</si>
  <si>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</si>
  <si>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</si>
  <si>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</si>
  <si>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</si>
  <si>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</si>
  <si>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</si>
  <si>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</si>
  <si>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</si>
  <si>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</si>
  <si>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</si>
  <si>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</si>
  <si>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</si>
  <si>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</si>
  <si>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</si>
  <si>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</si>
  <si>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</si>
  <si>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</si>
  <si>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</si>
  <si>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</si>
  <si>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</si>
  <si>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</si>
  <si>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</si>
  <si>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</si>
  <si>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</si>
  <si>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</si>
  <si>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</si>
  <si>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</si>
  <si>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</si>
  <si>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</si>
  <si>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</si>
  <si>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</si>
  <si>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</si>
  <si>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</si>
  <si>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</si>
  <si>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</si>
  <si>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</si>
  <si>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</si>
  <si>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</si>
  <si>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</si>
  <si>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</si>
  <si>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</si>
  <si>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</si>
  <si>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</si>
  <si>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</si>
  <si>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</si>
  <si>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</si>
  <si>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</si>
  <si>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</si>
  <si>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</si>
  <si>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</si>
  <si>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</si>
  <si>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</si>
  <si>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</si>
  <si>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</si>
  <si>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</si>
  <si>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</si>
  <si>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</si>
  <si>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</si>
  <si>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</si>
  <si>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</si>
  <si>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</si>
  <si>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</si>
  <si>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</si>
  <si>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</si>
  <si>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</si>
  <si>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</si>
  <si>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</si>
  <si>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</si>
  <si>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</si>
  <si>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</si>
  <si>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</si>
  <si>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</si>
  <si>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</si>
  <si>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</si>
  <si>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</si>
  <si>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</si>
  <si>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</si>
  <si>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</si>
  <si>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</si>
  <si>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</si>
  <si>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</si>
  <si>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</si>
  <si>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</si>
  <si>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</si>
  <si>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</si>
  <si>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</si>
  <si>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</si>
  <si>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</si>
  <si>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</si>
  <si>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</si>
  <si>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</si>
  <si>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</si>
  <si>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</si>
  <si>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</si>
  <si>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</si>
  <si>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</si>
  <si>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</si>
  <si>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</si>
  <si>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</si>
  <si>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</si>
  <si>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</si>
  <si>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</si>
  <si>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</si>
  <si>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</si>
  <si>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</si>
  <si>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</si>
  <si>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</si>
  <si>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</si>
  <si>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</si>
  <si>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</si>
  <si>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</si>
  <si>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</si>
  <si>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</si>
  <si>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</si>
  <si>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</si>
  <si>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</si>
  <si>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</si>
  <si>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</si>
  <si>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</si>
  <si>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</si>
  <si>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</si>
  <si>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</si>
  <si>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</si>
  <si>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</si>
  <si>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</si>
  <si>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</si>
  <si>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</si>
  <si>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</si>
  <si>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</si>
  <si>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</si>
  <si>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</si>
  <si>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</si>
  <si>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</si>
  <si>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</si>
  <si>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</si>
  <si>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</si>
  <si>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</si>
  <si>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</si>
  <si>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</si>
  <si>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</si>
  <si>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</si>
  <si>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</si>
  <si>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</si>
  <si>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</si>
  <si>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</si>
  <si>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</si>
  <si>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</si>
  <si>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</si>
  <si>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</si>
  <si>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</si>
  <si>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</si>
  <si>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</si>
  <si>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</si>
  <si>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</si>
  <si>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</si>
  <si>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</si>
  <si>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</si>
  <si>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</si>
  <si>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</si>
  <si>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</si>
  <si>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</si>
  <si>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</si>
  <si>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</si>
  <si>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</si>
  <si>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</si>
  <si>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</si>
  <si>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</si>
  <si>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</si>
  <si>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</si>
  <si>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</si>
  <si>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</si>
  <si>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</si>
  <si>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</si>
  <si>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</si>
  <si>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</si>
  <si>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</si>
  <si>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</si>
  <si>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</si>
  <si>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</si>
  <si>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</si>
  <si>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</si>
  <si>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</si>
  <si>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</si>
  <si>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</si>
  <si>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</si>
  <si>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</si>
  <si>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</si>
  <si>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</si>
  <si>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</si>
  <si>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</si>
  <si>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</si>
  <si>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</si>
  <si>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</si>
  <si>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</si>
  <si>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</si>
  <si>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</si>
  <si>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</si>
  <si>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</si>
  <si>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</si>
  <si>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</si>
  <si>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</si>
  <si>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</si>
  <si>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</si>
  <si>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</si>
  <si>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</si>
  <si>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</si>
  <si>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</si>
  <si>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</si>
  <si>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</si>
  <si>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</si>
  <si>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</si>
  <si>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</si>
  <si>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</si>
  <si>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</si>
  <si>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</si>
  <si>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</si>
  <si>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</si>
  <si>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</si>
  <si>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</si>
  <si>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</si>
  <si>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</si>
  <si>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</si>
  <si>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</si>
  <si>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</si>
  <si>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</si>
  <si>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</si>
  <si>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</si>
  <si>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</si>
  <si>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</si>
  <si>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</si>
  <si>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</si>
  <si>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</si>
  <si>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</si>
  <si>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</si>
  <si>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</si>
  <si>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</si>
  <si>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</si>
  <si>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</si>
  <si>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</si>
  <si>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</si>
  <si>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</si>
  <si>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</si>
  <si>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</si>
  <si>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</si>
  <si>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</si>
  <si>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</si>
  <si>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</si>
  <si>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</si>
  <si>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</si>
  <si>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</si>
  <si>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</si>
  <si>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</si>
  <si>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</si>
  <si>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</si>
  <si>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</si>
  <si>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</si>
  <si>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</si>
  <si>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</si>
  <si>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</si>
  <si>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</si>
  <si>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</si>
  <si>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</si>
  <si>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</si>
  <si>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</si>
  <si>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</si>
  <si>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</si>
  <si>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</si>
  <si>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</si>
  <si>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</si>
  <si>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</si>
  <si>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</si>
  <si>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</si>
  <si>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</si>
  <si>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</si>
  <si>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</si>
  <si>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</si>
  <si>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</si>
  <si>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</si>
  <si>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</si>
  <si>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</si>
  <si>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</si>
  <si>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</si>
  <si>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</si>
  <si>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</si>
  <si>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</si>
  <si>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</si>
  <si>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</si>
  <si>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</si>
  <si>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</si>
  <si>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</si>
  <si>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</si>
  <si>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</si>
  <si>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</si>
  <si>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</si>
  <si>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</si>
  <si>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</si>
  <si>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</si>
  <si>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</si>
  <si>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</si>
  <si>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</si>
  <si>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</si>
  <si>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</si>
  <si>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</si>
  <si>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</si>
  <si>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</si>
  <si>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</si>
  <si>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</si>
  <si>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</si>
  <si>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</si>
  <si>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</si>
  <si>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</si>
  <si>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</si>
  <si>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</si>
  <si>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</si>
  <si>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</si>
  <si>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</si>
  <si>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</si>
  <si>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</si>
  <si>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</si>
  <si>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</si>
  <si>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</si>
  <si>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</si>
  <si>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</si>
  <si>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</si>
  <si>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</si>
  <si>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</si>
  <si>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</si>
  <si>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</si>
  <si>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</si>
  <si>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</si>
  <si>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</si>
  <si>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</si>
  <si>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</si>
  <si>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</si>
  <si>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</si>
  <si>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</si>
  <si>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</si>
  <si>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</si>
  <si>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</si>
  <si>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</si>
  <si>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</si>
  <si>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</si>
  <si>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</si>
  <si>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</si>
  <si>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</si>
  <si>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</si>
  <si>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</si>
  <si>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</si>
  <si>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</si>
  <si>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</si>
  <si>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</si>
  <si>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</si>
  <si>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</si>
  <si>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</si>
  <si>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</si>
  <si>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</si>
  <si>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</si>
  <si>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</si>
  <si>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</si>
  <si>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</si>
  <si>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</si>
  <si>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</si>
  <si>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</si>
  <si>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</si>
  <si>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</si>
  <si>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</si>
  <si>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</si>
  <si>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</si>
  <si>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</si>
  <si>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</si>
  <si>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</si>
  <si>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</si>
  <si>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</si>
  <si>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</si>
  <si>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</si>
  <si>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</si>
  <si>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</si>
  <si>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</si>
  <si>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</si>
  <si>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</si>
  <si>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</si>
  <si>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</si>
  <si>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</si>
  <si>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</si>
  <si>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</si>
  <si>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</si>
  <si>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</si>
  <si>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</si>
  <si>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</si>
  <si>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</si>
  <si>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</si>
  <si>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</si>
  <si>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</si>
  <si>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</si>
  <si>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</si>
  <si>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</si>
  <si>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</si>
  <si>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</si>
  <si>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</si>
  <si>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</si>
  <si>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</si>
  <si>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</si>
  <si>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</si>
  <si>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</si>
  <si>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</si>
  <si>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</si>
  <si>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</si>
  <si>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</si>
  <si>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</si>
  <si>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</si>
  <si>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</si>
  <si>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</si>
  <si>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</si>
  <si>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</si>
  <si>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</si>
  <si>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</si>
  <si>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</si>
  <si>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</si>
  <si>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</si>
  <si>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</si>
  <si>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</si>
  <si>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</si>
  <si>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</si>
  <si>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</si>
  <si>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</si>
  <si>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</si>
  <si>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</si>
  <si>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</si>
  <si>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</si>
  <si>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</si>
  <si>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</si>
  <si>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</si>
  <si>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</si>
  <si>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</si>
  <si>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</si>
  <si>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</si>
  <si>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</si>
  <si>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</si>
  <si>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</si>
  <si>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</si>
  <si>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</si>
  <si>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</si>
  <si>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</si>
  <si>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</si>
  <si>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</si>
  <si>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</si>
  <si>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</si>
  <si>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</si>
  <si>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</si>
  <si>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</si>
  <si>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</si>
  <si>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</si>
  <si>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</si>
  <si>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</si>
  <si>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</si>
  <si>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</si>
  <si>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</si>
  <si>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</si>
  <si>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</si>
  <si>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</si>
  <si>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</si>
  <si>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</si>
  <si>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</si>
  <si>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</si>
  <si>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</si>
  <si>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</si>
  <si>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</si>
  <si>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</si>
  <si>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</si>
  <si>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</si>
  <si>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</si>
  <si>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</si>
  <si>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</si>
  <si>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</si>
  <si>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</si>
  <si>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</si>
  <si>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</si>
  <si>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</si>
  <si>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</si>
  <si>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</si>
  <si>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</si>
  <si>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</si>
  <si>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</si>
  <si>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</si>
  <si>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</si>
  <si>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</si>
  <si>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</si>
  <si>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</si>
  <si>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</si>
  <si>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</si>
  <si>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</si>
  <si>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</si>
  <si>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</si>
  <si>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</si>
  <si>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</si>
  <si>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</si>
  <si>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</si>
  <si>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</si>
  <si>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</si>
  <si>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</si>
  <si>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</si>
  <si>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</si>
  <si>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</si>
  <si>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</si>
  <si>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</si>
  <si>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</si>
  <si>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</si>
  <si>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</si>
  <si>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</si>
  <si>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</si>
  <si>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</si>
  <si>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</si>
  <si>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</si>
  <si>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</si>
  <si>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</si>
  <si>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</si>
  <si>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</si>
  <si>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</si>
  <si>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</si>
  <si>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</si>
  <si>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</si>
  <si>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</si>
  <si>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</si>
  <si>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</si>
  <si>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</si>
  <si>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</si>
  <si>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</si>
  <si>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</si>
  <si>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</si>
  <si>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</si>
  <si>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</si>
  <si>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</si>
  <si>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</si>
  <si>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</si>
  <si>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</si>
  <si>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</si>
  <si>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</si>
  <si>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</si>
  <si>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</si>
  <si>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</si>
  <si>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</si>
  <si>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</si>
  <si>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</si>
  <si>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</si>
  <si>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</si>
  <si>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</si>
  <si>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</si>
  <si>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</si>
  <si>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</si>
  <si>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</si>
  <si>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</si>
  <si>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</si>
  <si>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</si>
  <si>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</si>
  <si>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</si>
  <si>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</si>
  <si>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</si>
  <si>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</si>
  <si>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</si>
  <si>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</si>
  <si>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</si>
  <si>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</si>
  <si>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</si>
  <si>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</si>
  <si>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</si>
  <si>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</si>
  <si>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</si>
  <si>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</si>
  <si>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</si>
  <si>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</si>
  <si>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</si>
  <si>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</si>
  <si>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</si>
  <si>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</si>
  <si>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</si>
  <si>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</si>
  <si>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</si>
  <si>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</si>
  <si>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</si>
  <si>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</si>
  <si>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</si>
  <si>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</si>
  <si>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</si>
  <si>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</si>
  <si>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</si>
  <si>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</si>
  <si>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</si>
  <si>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</si>
  <si>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</si>
  <si>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</si>
  <si>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</si>
  <si>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</si>
  <si>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</si>
  <si>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</si>
  <si>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</si>
  <si>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</si>
  <si>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</si>
  <si>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</si>
  <si>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</si>
  <si>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</si>
  <si>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</si>
  <si>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</si>
  <si>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</si>
  <si>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</si>
  <si>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</si>
  <si>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</si>
  <si>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</si>
  <si>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</si>
  <si>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</si>
  <si>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</si>
  <si>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</si>
  <si>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</si>
  <si>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</si>
  <si>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</si>
  <si>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</si>
  <si>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</si>
  <si>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</si>
  <si>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</si>
  <si>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</si>
  <si>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</si>
  <si>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</si>
  <si>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</si>
  <si>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</si>
  <si>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</si>
  <si>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</si>
  <si>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</si>
  <si>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</si>
  <si>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</si>
  <si>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</si>
  <si>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</si>
  <si>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</si>
  <si>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</si>
  <si>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</si>
  <si>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</si>
  <si>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</si>
  <si>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</si>
  <si>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</si>
  <si>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</si>
  <si>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</si>
  <si>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</si>
  <si>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</si>
  <si>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</si>
  <si>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</si>
  <si>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</si>
  <si>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</si>
  <si>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</si>
  <si>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</si>
  <si>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</si>
  <si>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</si>
  <si>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</si>
  <si>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</si>
  <si>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</si>
  <si>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</si>
  <si>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</si>
  <si>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</si>
  <si>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</si>
  <si>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</si>
  <si>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</si>
  <si>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</si>
  <si>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</si>
  <si>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</si>
  <si>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</si>
  <si>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</si>
  <si>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</si>
  <si>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</si>
  <si>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</si>
  <si>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</si>
  <si>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</si>
  <si>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</si>
  <si>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</si>
  <si>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</si>
  <si>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</si>
  <si>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</si>
  <si>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</si>
  <si>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</si>
  <si>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</si>
  <si>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</si>
  <si>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</si>
  <si>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</si>
  <si>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</si>
  <si>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</si>
  <si>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</si>
  <si>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</si>
  <si>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</si>
  <si>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</si>
  <si>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</si>
  <si>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</si>
  <si>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</si>
  <si>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</si>
  <si>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</si>
  <si>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</si>
  <si>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</si>
  <si>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</si>
  <si>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</si>
  <si>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</si>
  <si>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</si>
  <si>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</si>
  <si>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</si>
  <si>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</si>
  <si>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</si>
  <si>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</si>
  <si>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</si>
  <si>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</si>
  <si>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</si>
  <si>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</si>
  <si>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</si>
  <si>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</si>
  <si>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</si>
  <si>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</si>
  <si>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</si>
  <si>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</si>
  <si>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</si>
  <si>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</si>
  <si>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</si>
  <si>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</si>
  <si>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</si>
  <si>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</si>
  <si>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</si>
  <si>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</si>
  <si>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</si>
  <si>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</si>
  <si>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</si>
  <si>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</si>
  <si>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</si>
  <si>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</si>
  <si>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</si>
  <si>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</si>
  <si>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</si>
  <si>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</si>
  <si>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</si>
  <si>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</si>
  <si>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</si>
  <si>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</si>
  <si>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</si>
  <si>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</si>
  <si>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</si>
  <si>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</si>
  <si>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</si>
  <si>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</si>
  <si>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</si>
  <si>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</si>
  <si>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</si>
  <si>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</si>
  <si>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</si>
  <si>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</si>
  <si>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</si>
  <si>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</si>
  <si>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</si>
  <si>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</si>
  <si>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</si>
  <si>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</si>
  <si>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</si>
  <si>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</si>
  <si>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</si>
  <si>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</si>
  <si>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</si>
  <si>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</si>
  <si>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</si>
  <si>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</si>
  <si>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</si>
  <si>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</si>
  <si>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</si>
  <si>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</si>
  <si>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</si>
  <si>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</si>
  <si>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</si>
  <si>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</si>
  <si>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</si>
  <si>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</si>
  <si>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</si>
  <si>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</si>
  <si>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</si>
  <si>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</si>
  <si>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</si>
  <si>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</si>
  <si>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</si>
  <si>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</si>
  <si>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</si>
  <si>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</si>
  <si>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</si>
  <si>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</si>
  <si>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</si>
  <si>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</si>
  <si>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</si>
  <si>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</si>
  <si>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</si>
  <si>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</si>
  <si>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</si>
  <si>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</si>
  <si>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</si>
  <si>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</si>
  <si>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</si>
  <si>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</si>
  <si>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</si>
  <si>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</si>
  <si>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</si>
  <si>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</si>
  <si>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</si>
  <si>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</si>
  <si>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</si>
  <si>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</si>
  <si>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</si>
  <si>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</si>
  <si>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</si>
  <si>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</si>
  <si>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</si>
  <si>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</si>
  <si>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</si>
  <si>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</si>
  <si>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</si>
  <si>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</si>
  <si>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</si>
  <si>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</si>
  <si>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</si>
  <si>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</si>
  <si>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</si>
  <si>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</si>
  <si>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</si>
  <si>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</si>
  <si>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</si>
  <si>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</si>
  <si>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</si>
  <si>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</si>
  <si>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</si>
  <si>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</si>
  <si>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</si>
  <si>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</si>
  <si>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</si>
  <si>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</si>
  <si>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</si>
  <si>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</si>
  <si>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</si>
  <si>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</si>
  <si>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</si>
  <si>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</si>
  <si>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</si>
  <si>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</si>
  <si>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</si>
  <si>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</si>
  <si>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</si>
  <si>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</si>
  <si>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</si>
  <si>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</si>
  <si>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</si>
  <si>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</si>
  <si>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</si>
  <si>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</si>
  <si>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</si>
  <si>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</si>
  <si>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</si>
  <si>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</si>
  <si>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</si>
  <si>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</si>
  <si>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</si>
  <si>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</si>
  <si>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</si>
  <si>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</si>
  <si>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</si>
  <si>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</si>
  <si>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</si>
  <si>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</si>
  <si>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</si>
  <si>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</si>
  <si>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</si>
  <si>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</si>
  <si>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</si>
  <si>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</si>
  <si>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</si>
  <si>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</si>
  <si>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</si>
  <si>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</si>
  <si>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</si>
  <si>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</si>
  <si>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</si>
  <si>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</si>
  <si>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</si>
  <si>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</si>
  <si>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</si>
  <si>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</si>
  <si>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</si>
  <si>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</si>
  <si>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</si>
  <si>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</si>
  <si>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</si>
  <si>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</si>
  <si>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</si>
  <si>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</si>
  <si>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</si>
  <si>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</si>
  <si>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</si>
  <si>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</si>
  <si>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</si>
  <si>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</si>
  <si>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</si>
  <si>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</si>
  <si>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</si>
  <si>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</si>
  <si>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</si>
  <si>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</si>
  <si>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</si>
  <si>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</si>
  <si>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</si>
  <si>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</si>
  <si>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</si>
  <si>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</si>
  <si>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</si>
  <si>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</si>
  <si>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</si>
  <si>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</si>
  <si>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</si>
  <si>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</si>
  <si>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</si>
  <si>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</si>
  <si>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</si>
  <si>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</si>
  <si>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</si>
  <si>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</si>
  <si>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</si>
  <si>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</si>
  <si>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</si>
  <si>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</si>
  <si>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</si>
  <si>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</si>
  <si>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</si>
  <si>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</si>
  <si>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</si>
  <si>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</si>
  <si>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</si>
  <si>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</si>
  <si>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</si>
  <si>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</si>
  <si>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</si>
  <si>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</si>
  <si>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</si>
  <si>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</si>
  <si>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</si>
  <si>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</si>
  <si>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</si>
  <si>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</si>
  <si>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</si>
  <si>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</si>
  <si>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</si>
  <si>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</si>
  <si>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</si>
  <si>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</si>
  <si>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</si>
  <si>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</si>
  <si>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</si>
  <si>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</si>
  <si>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</si>
  <si>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</si>
  <si>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</si>
  <si>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</si>
  <si>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</si>
  <si>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</si>
  <si>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</si>
  <si>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</si>
  <si>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</si>
  <si>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</si>
  <si>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</si>
  <si>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</si>
  <si>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</si>
  <si>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</si>
  <si>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</si>
  <si>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</si>
  <si>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</si>
  <si>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</si>
  <si>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</si>
  <si>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</si>
  <si>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</si>
  <si>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</si>
  <si>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</si>
  <si>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</si>
  <si>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</si>
  <si>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</si>
  <si>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</si>
  <si>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</si>
  <si>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</si>
  <si>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</si>
  <si>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</si>
  <si>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</si>
  <si>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</si>
  <si>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</si>
  <si>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</si>
  <si>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</si>
  <si>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</si>
  <si>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</si>
  <si>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</si>
  <si>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</si>
  <si>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</si>
  <si>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</si>
  <si>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</si>
  <si>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</si>
  <si>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</si>
  <si>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</si>
  <si>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</si>
  <si>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</si>
  <si>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</si>
  <si>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</si>
  <si>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</si>
  <si>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</si>
  <si>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</si>
  <si>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</si>
  <si>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</si>
  <si>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</si>
  <si>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</si>
  <si>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</si>
  <si>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</si>
  <si>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</si>
  <si>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</si>
  <si>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</si>
  <si>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</si>
  <si>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</si>
  <si>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</si>
  <si>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</si>
  <si>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</si>
  <si>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</si>
  <si>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</si>
  <si>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</si>
  <si>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</si>
  <si>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</si>
  <si>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</si>
  <si>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</si>
  <si>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</si>
  <si>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</si>
  <si>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</si>
  <si>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</si>
  <si>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</si>
  <si>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</si>
  <si>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</si>
  <si>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</si>
  <si>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</si>
  <si>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</si>
  <si>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</si>
  <si>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</si>
  <si>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</si>
  <si>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</si>
  <si>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</si>
  <si>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</si>
  <si>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</si>
  <si>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</si>
  <si>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</si>
  <si>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</si>
  <si>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</si>
  <si>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</si>
  <si>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</si>
  <si>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</si>
  <si>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</si>
  <si>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</si>
  <si>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</si>
  <si>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</si>
  <si>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</si>
  <si>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</si>
  <si>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</si>
  <si>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</si>
  <si>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</si>
  <si>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</si>
  <si>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</si>
  <si>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</si>
  <si>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</si>
  <si>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</si>
  <si>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</si>
  <si>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</si>
  <si>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</si>
  <si>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</si>
  <si>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</si>
  <si>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</si>
  <si>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</si>
  <si>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</si>
  <si>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</si>
  <si>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</si>
  <si>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</si>
  <si>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</si>
  <si>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</si>
  <si>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</si>
  <si>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</si>
  <si>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</si>
  <si>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</si>
  <si>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</si>
  <si>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</si>
  <si>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</si>
  <si>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</si>
  <si>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</si>
  <si>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</si>
  <si>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</si>
  <si>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</si>
  <si>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</si>
  <si>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</si>
  <si>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</si>
  <si>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</si>
  <si>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</si>
  <si>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</si>
  <si>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</si>
  <si>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</si>
  <si>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</si>
  <si>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</si>
  <si>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</si>
  <si>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</si>
  <si>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</si>
  <si>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</si>
  <si>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</si>
  <si>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</si>
  <si>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</si>
  <si>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</si>
  <si>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</si>
  <si>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</si>
  <si>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</si>
  <si>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</si>
  <si>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</si>
  <si>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</si>
  <si>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</si>
  <si>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</si>
  <si>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</si>
  <si>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</si>
  <si>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</si>
  <si>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Modifier letter small turned R with hook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</si>
  <si>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</si>
  <si>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</si>
  <si>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</si>
  <si>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</si>
  <si>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</si>
  <si>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</si>
  <si>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</si>
  <si>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</si>
  <si>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Modifier letter small X</t>
  </si>
  <si>
    <t>superscript X</t>
  </si>
  <si>
    <t>◌ˣ</t>
  </si>
  <si>
    <t>0x02e3</t>
  </si>
  <si>
    <t>ᵍ</t>
  </si>
  <si>
    <t>0x1d4d</t>
  </si>
  <si>
    <t>Modifier letter small G</t>
  </si>
  <si>
    <t>superscript G</t>
  </si>
  <si>
    <t>◌ᵍ</t>
  </si>
  <si>
    <t>0x02c3</t>
  </si>
  <si>
    <t>Modifier letter right arrowhead</t>
  </si>
  <si>
    <t>Backed</t>
  </si>
  <si>
    <t>◌˃</t>
  </si>
  <si>
    <t>˃</t>
  </si>
  <si>
    <t>*</t>
  </si>
  <si>
    <t>Unintelligible cover symbol</t>
  </si>
  <si>
    <t>unintelligible cover 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</si>
</sst>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74" totalsRowShown="0" headerRowDxfId="7">
  <autoFilter ref="A1:X274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74"/>
  <sheetViews>
    <sheetView tabSelected="1" zoomScale="130" zoomScaleNormal="130" workbookViewId="0">
      <pane ySplit="1" topLeftCell="A251" activePane="bottomLeft" state="frozen"/>
      <selection pane="bottomLeft" activeCell="D271" sqref="D271"/>
    </sheetView>
  </sheetViews>
  <sheetFormatPr defaultColWidth="8.85546875" defaultRowHeight="15" x14ac:dyDescent="0.25"/>
  <cols>
    <col min="1" max="1" width="46.42578125" bestFit="1" customWidth="1"/>
    <col min="2" max="2" width="40.85546875" bestFit="1" customWidth="1"/>
    <col min="3" max="3" width="10" customWidth="1"/>
    <col min="4" max="4" width="20.85546875" bestFit="1" customWidth="1"/>
    <col min="5" max="5" width="14.42578125" bestFit="1" customWidth="1"/>
    <col min="6" max="6" width="14.42578125" customWidth="1"/>
    <col min="7" max="7" width="13.28515625" customWidth="1"/>
    <col min="8" max="8" width="19.42578125" bestFit="1" customWidth="1"/>
    <col min="9" max="9" width="12.28515625" bestFit="1" customWidth="1"/>
    <col min="10" max="13" width="12.28515625" customWidth="1"/>
    <col min="14" max="14" width="10.7109375" customWidth="1"/>
    <col min="16" max="16" width="9.7109375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5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5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5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5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5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5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5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5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5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5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5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5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5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5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5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5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5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5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5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5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5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5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5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5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5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5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5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5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5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5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5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5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5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5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5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5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5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5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5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5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5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5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5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5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5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5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5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5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5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5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5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5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5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5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5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5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5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5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5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5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5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5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5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5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5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5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5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5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5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5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5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5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5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5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5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5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5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5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5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5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5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5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5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5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5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5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5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5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5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5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5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5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5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5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5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5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5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5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5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5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5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5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5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5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5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5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5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5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5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5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5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5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5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5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5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5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5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5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5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5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5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5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5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5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5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5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5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5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5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5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5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5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5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5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5">
      <c r="A136" s="1" t="s">
        <v>1216</v>
      </c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5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5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5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5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5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5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5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5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5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5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5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5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5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5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5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5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5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5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5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5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5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5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5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5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5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5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5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5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5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5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5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5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5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5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5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5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5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5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5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5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5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5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5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5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5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5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5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5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5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5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5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5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5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5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5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5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5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5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5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5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5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5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5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5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5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5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5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5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5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5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5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1010</v>
      </c>
      <c r="G207" s="1" t="s">
        <v>1073</v>
      </c>
      <c r="H207">
        <f t="shared" si="28"/>
        <v>0</v>
      </c>
    </row>
    <row r="208" spans="1:8" x14ac:dyDescent="0.25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1010</v>
      </c>
      <c r="G208" s="1" t="s">
        <v>1073</v>
      </c>
      <c r="H208">
        <f t="shared" si="28"/>
        <v>1</v>
      </c>
    </row>
    <row r="209" spans="1:8" x14ac:dyDescent="0.25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1010</v>
      </c>
      <c r="G209" s="1" t="s">
        <v>1073</v>
      </c>
      <c r="H209">
        <f t="shared" si="28"/>
        <v>0</v>
      </c>
    </row>
    <row r="210" spans="1:8" x14ac:dyDescent="0.25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1010</v>
      </c>
      <c r="G210" s="1" t="s">
        <v>1073</v>
      </c>
      <c r="H210">
        <f t="shared" si="28"/>
        <v>1</v>
      </c>
    </row>
    <row r="211" spans="1:8" x14ac:dyDescent="0.25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1010</v>
      </c>
      <c r="G211" s="1" t="s">
        <v>1073</v>
      </c>
      <c r="H211">
        <f t="shared" si="28"/>
        <v>0</v>
      </c>
    </row>
    <row r="212" spans="1:8" x14ac:dyDescent="0.25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1010</v>
      </c>
      <c r="G212" s="1" t="s">
        <v>1073</v>
      </c>
      <c r="H212">
        <f t="shared" si="28"/>
        <v>1</v>
      </c>
    </row>
    <row r="213" spans="1:8" x14ac:dyDescent="0.25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1010</v>
      </c>
      <c r="G213" s="1" t="s">
        <v>1073</v>
      </c>
      <c r="H213">
        <f t="shared" si="28"/>
        <v>0</v>
      </c>
    </row>
    <row r="214" spans="1:8" x14ac:dyDescent="0.25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1010</v>
      </c>
      <c r="G214" s="1" t="s">
        <v>1073</v>
      </c>
      <c r="H214">
        <f t="shared" si="28"/>
        <v>1</v>
      </c>
    </row>
    <row r="215" spans="1:8" x14ac:dyDescent="0.25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1010</v>
      </c>
      <c r="G215" s="1" t="s">
        <v>1073</v>
      </c>
      <c r="H215">
        <f t="shared" si="28"/>
        <v>0</v>
      </c>
    </row>
    <row r="216" spans="1:8" x14ac:dyDescent="0.25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1010</v>
      </c>
      <c r="G216" s="1" t="s">
        <v>1073</v>
      </c>
      <c r="H216">
        <f t="shared" si="28"/>
        <v>1</v>
      </c>
    </row>
    <row r="217" spans="1:8" x14ac:dyDescent="0.25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1010</v>
      </c>
      <c r="G217" s="1" t="s">
        <v>1073</v>
      </c>
      <c r="H217" t="str">
        <f t="shared" si="28"/>
        <v/>
      </c>
    </row>
    <row r="218" spans="1:8" x14ac:dyDescent="0.25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1010</v>
      </c>
      <c r="G218" s="1" t="s">
        <v>1073</v>
      </c>
      <c r="H218" t="str">
        <f t="shared" si="28"/>
        <v/>
      </c>
    </row>
    <row r="219" spans="1:8" x14ac:dyDescent="0.25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1010</v>
      </c>
      <c r="G219" s="1" t="s">
        <v>1073</v>
      </c>
      <c r="H219" t="str">
        <f t="shared" si="28"/>
        <v/>
      </c>
    </row>
    <row r="220" spans="1:8" x14ac:dyDescent="0.25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1010</v>
      </c>
      <c r="G220" s="1" t="s">
        <v>1073</v>
      </c>
      <c r="H220" t="str">
        <f t="shared" si="28"/>
        <v/>
      </c>
    </row>
    <row r="221" spans="1:8" x14ac:dyDescent="0.25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1010</v>
      </c>
      <c r="G221" s="1" t="s">
        <v>1073</v>
      </c>
      <c r="H221" t="str">
        <f t="shared" si="28"/>
        <v/>
      </c>
    </row>
    <row r="222" spans="1:8" x14ac:dyDescent="0.25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1010</v>
      </c>
      <c r="G222" s="1" t="s">
        <v>1073</v>
      </c>
      <c r="H222" t="str">
        <f t="shared" si="28"/>
        <v/>
      </c>
    </row>
    <row r="223" spans="1:8" x14ac:dyDescent="0.25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1010</v>
      </c>
      <c r="G223" s="1" t="s">
        <v>1073</v>
      </c>
      <c r="H223" t="str">
        <f t="shared" si="28"/>
        <v/>
      </c>
    </row>
    <row r="224" spans="1:8" x14ac:dyDescent="0.25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1010</v>
      </c>
      <c r="G224" s="1" t="s">
        <v>1073</v>
      </c>
      <c r="H224" t="str">
        <f t="shared" si="28"/>
        <v/>
      </c>
    </row>
    <row r="225" spans="1:8" x14ac:dyDescent="0.25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1010</v>
      </c>
      <c r="G225" s="1" t="s">
        <v>1073</v>
      </c>
      <c r="H225" t="str">
        <f t="shared" si="28"/>
        <v/>
      </c>
    </row>
    <row r="226" spans="1:8" x14ac:dyDescent="0.25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1010</v>
      </c>
      <c r="G226" s="1" t="s">
        <v>1073</v>
      </c>
      <c r="H226" t="str">
        <f t="shared" si="28"/>
        <v/>
      </c>
    </row>
    <row r="227" spans="1:8" x14ac:dyDescent="0.25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1010</v>
      </c>
      <c r="G227" s="1" t="s">
        <v>1073</v>
      </c>
      <c r="H227" t="str">
        <f t="shared" si="28"/>
        <v/>
      </c>
    </row>
    <row r="228" spans="1:8" x14ac:dyDescent="0.25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1010</v>
      </c>
      <c r="G228" s="1" t="s">
        <v>1073</v>
      </c>
      <c r="H228">
        <f t="shared" si="28"/>
        <v>0</v>
      </c>
    </row>
    <row r="229" spans="1:8" x14ac:dyDescent="0.25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1010</v>
      </c>
      <c r="G229" s="1" t="s">
        <v>1073</v>
      </c>
      <c r="H229">
        <f t="shared" si="28"/>
        <v>1</v>
      </c>
    </row>
    <row r="230" spans="1:8" x14ac:dyDescent="0.25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1010</v>
      </c>
      <c r="G230" s="1" t="s">
        <v>1073</v>
      </c>
      <c r="H230">
        <f t="shared" si="28"/>
        <v>0</v>
      </c>
    </row>
    <row r="231" spans="1:8" x14ac:dyDescent="0.25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1010</v>
      </c>
      <c r="G231" s="1" t="s">
        <v>1073</v>
      </c>
      <c r="H231">
        <f t="shared" si="28"/>
        <v>1</v>
      </c>
    </row>
    <row r="232" spans="1:8" x14ac:dyDescent="0.25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1010</v>
      </c>
      <c r="G232" s="1" t="s">
        <v>1073</v>
      </c>
      <c r="H232">
        <f t="shared" si="28"/>
        <v>0</v>
      </c>
    </row>
    <row r="233" spans="1:8" x14ac:dyDescent="0.25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1010</v>
      </c>
      <c r="G233" s="1" t="s">
        <v>1073</v>
      </c>
      <c r="H233">
        <f t="shared" si="28"/>
        <v>1</v>
      </c>
    </row>
    <row r="234" spans="1:8" x14ac:dyDescent="0.25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1010</v>
      </c>
      <c r="G234" s="1" t="s">
        <v>1073</v>
      </c>
      <c r="H234">
        <f t="shared" si="28"/>
        <v>0</v>
      </c>
    </row>
    <row r="235" spans="1:8" x14ac:dyDescent="0.25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1010</v>
      </c>
      <c r="G235" s="1" t="s">
        <v>1073</v>
      </c>
      <c r="H235">
        <f t="shared" si="28"/>
        <v>1</v>
      </c>
    </row>
    <row r="236" spans="1:8" x14ac:dyDescent="0.25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1010</v>
      </c>
      <c r="G236" s="1" t="s">
        <v>1073</v>
      </c>
      <c r="H236">
        <f t="shared" si="28"/>
        <v>0</v>
      </c>
    </row>
    <row r="237" spans="1:8" x14ac:dyDescent="0.25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1010</v>
      </c>
      <c r="G237" s="1" t="s">
        <v>1073</v>
      </c>
      <c r="H237">
        <f t="shared" si="28"/>
        <v>1</v>
      </c>
    </row>
    <row r="238" spans="1:8" x14ac:dyDescent="0.25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1010</v>
      </c>
      <c r="G238" s="1" t="s">
        <v>1073</v>
      </c>
      <c r="H238">
        <f t="shared" si="28"/>
        <v>0</v>
      </c>
    </row>
    <row r="239" spans="1:8" x14ac:dyDescent="0.25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1010</v>
      </c>
      <c r="G239" s="1" t="s">
        <v>1073</v>
      </c>
      <c r="H239">
        <f t="shared" si="28"/>
        <v>1</v>
      </c>
    </row>
    <row r="240" spans="1:8" x14ac:dyDescent="0.25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1010</v>
      </c>
      <c r="G240" s="1" t="s">
        <v>1073</v>
      </c>
      <c r="H240" t="str">
        <f t="shared" si="28"/>
        <v/>
      </c>
    </row>
    <row r="241" spans="1:8" x14ac:dyDescent="0.25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1010</v>
      </c>
      <c r="G241" s="1" t="s">
        <v>1073</v>
      </c>
      <c r="H241" t="str">
        <f t="shared" si="28"/>
        <v/>
      </c>
    </row>
    <row r="242" spans="1:8" x14ac:dyDescent="0.25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1010</v>
      </c>
      <c r="G242" s="1" t="s">
        <v>1073</v>
      </c>
      <c r="H242" t="str">
        <f t="shared" si="28"/>
        <v/>
      </c>
    </row>
    <row r="243" spans="1:8" x14ac:dyDescent="0.25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1018</v>
      </c>
      <c r="G243" s="1" t="s">
        <v>1074</v>
      </c>
      <c r="H243" t="str">
        <f t="shared" si="28"/>
        <v/>
      </c>
    </row>
    <row r="244" spans="1:8" x14ac:dyDescent="0.25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1018</v>
      </c>
      <c r="G244" s="1" t="s">
        <v>1074</v>
      </c>
      <c r="H244" t="str">
        <f t="shared" si="28"/>
        <v/>
      </c>
    </row>
    <row r="245" spans="1:8" x14ac:dyDescent="0.25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1018</v>
      </c>
      <c r="G245" s="1" t="s">
        <v>1074</v>
      </c>
      <c r="H245" t="str">
        <f t="shared" si="28"/>
        <v/>
      </c>
    </row>
    <row r="246" spans="1:8" x14ac:dyDescent="0.25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1018</v>
      </c>
      <c r="G246" s="1" t="s">
        <v>1074</v>
      </c>
      <c r="H246" t="str">
        <f t="shared" si="28"/>
        <v/>
      </c>
    </row>
    <row r="247" spans="1:8" x14ac:dyDescent="0.25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1018</v>
      </c>
      <c r="G247" s="1" t="s">
        <v>1074</v>
      </c>
      <c r="H247" t="str">
        <f t="shared" si="28"/>
        <v/>
      </c>
    </row>
    <row r="248" spans="1:8" x14ac:dyDescent="0.25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1018</v>
      </c>
      <c r="G248" s="1" t="s">
        <v>1074</v>
      </c>
      <c r="H248" t="str">
        <f t="shared" si="28"/>
        <v/>
      </c>
    </row>
    <row r="249" spans="1:8" x14ac:dyDescent="0.25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1018</v>
      </c>
      <c r="G249" s="1" t="s">
        <v>1074</v>
      </c>
      <c r="H249" t="str">
        <f t="shared" si="28"/>
        <v/>
      </c>
    </row>
    <row r="250" spans="1:8" x14ac:dyDescent="0.25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1018</v>
      </c>
      <c r="G250" s="1" t="s">
        <v>1074</v>
      </c>
      <c r="H250" t="str">
        <f t="shared" si="28"/>
        <v/>
      </c>
    </row>
    <row r="251" spans="1:8" x14ac:dyDescent="0.25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1018</v>
      </c>
      <c r="G251" s="1" t="s">
        <v>1074</v>
      </c>
      <c r="H251" t="str">
        <f t="shared" si="28"/>
        <v/>
      </c>
    </row>
    <row r="252" spans="1:8" x14ac:dyDescent="0.25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1018</v>
      </c>
      <c r="G252" s="1" t="s">
        <v>1074</v>
      </c>
      <c r="H252" t="str">
        <f t="shared" si="28"/>
        <v/>
      </c>
    </row>
    <row r="253" spans="1:8" x14ac:dyDescent="0.25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1018</v>
      </c>
      <c r="G253" s="1" t="s">
        <v>1074</v>
      </c>
      <c r="H253" t="str">
        <f t="shared" si="28"/>
        <v/>
      </c>
    </row>
    <row r="254" spans="1:8" x14ac:dyDescent="0.25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1018</v>
      </c>
      <c r="G254" s="1" t="s">
        <v>1074</v>
      </c>
      <c r="H254" t="str">
        <f t="shared" si="28"/>
        <v/>
      </c>
    </row>
    <row r="255" spans="1:8" x14ac:dyDescent="0.25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1018</v>
      </c>
      <c r="G255" s="1" t="s">
        <v>1074</v>
      </c>
      <c r="H255" t="str">
        <f t="shared" si="28"/>
        <v/>
      </c>
    </row>
    <row r="256" spans="1:8" x14ac:dyDescent="0.25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1018</v>
      </c>
      <c r="G256" s="1" t="s">
        <v>1074</v>
      </c>
      <c r="H256" t="str">
        <f t="shared" si="28"/>
        <v/>
      </c>
    </row>
    <row r="257" spans="1:8" x14ac:dyDescent="0.25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1018</v>
      </c>
      <c r="G257" s="1" t="s">
        <v>1074</v>
      </c>
      <c r="H257" t="str">
        <f t="shared" si="28"/>
        <v/>
      </c>
    </row>
    <row r="258" spans="1:8" x14ac:dyDescent="0.25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1018</v>
      </c>
      <c r="G258" s="1" t="s">
        <v>1075</v>
      </c>
      <c r="H258" t="str">
        <f t="shared" si="28"/>
        <v/>
      </c>
    </row>
    <row r="259" spans="1:8" x14ac:dyDescent="0.25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1018</v>
      </c>
      <c r="G259" s="1" t="s">
        <v>1074</v>
      </c>
      <c r="H259" t="str">
        <f t="shared" si="28"/>
        <v/>
      </c>
    </row>
    <row r="260" spans="1:8" x14ac:dyDescent="0.25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 t="shared" ref="H260:H265" si="29">IF(ISNUMBER(SEARCH("Voiceless",A260)),0, IF(ISNUMBER(SEARCH("Voiced",A260)),1,""))</f>
        <v/>
      </c>
    </row>
    <row r="261" spans="1:8" x14ac:dyDescent="0.25">
      <c r="A261" s="1" t="s">
        <v>1054</v>
      </c>
      <c r="B261" s="1" t="s">
        <v>1180</v>
      </c>
      <c r="C261" s="1" t="s">
        <v>1178</v>
      </c>
      <c r="D261" s="1" t="s">
        <v>1200</v>
      </c>
      <c r="E261" s="1" t="s">
        <v>1179</v>
      </c>
      <c r="F261" s="1" t="s">
        <v>1018</v>
      </c>
      <c r="G261" s="1" t="s">
        <v>1074</v>
      </c>
      <c r="H261" t="str">
        <f t="shared" si="29"/>
        <v/>
      </c>
    </row>
    <row r="262" spans="1:8" x14ac:dyDescent="0.25">
      <c r="A262" s="1" t="s">
        <v>1184</v>
      </c>
      <c r="B262" s="1" t="s">
        <v>1182</v>
      </c>
      <c r="C262" s="1" t="s">
        <v>1183</v>
      </c>
      <c r="D262" s="1" t="s">
        <v>1199</v>
      </c>
      <c r="E262" s="1" t="s">
        <v>1181</v>
      </c>
      <c r="F262" s="1" t="s">
        <v>1018</v>
      </c>
      <c r="G262" s="1" t="s">
        <v>1074</v>
      </c>
      <c r="H262" t="str">
        <f t="shared" si="29"/>
        <v/>
      </c>
    </row>
    <row r="263" spans="1:8" x14ac:dyDescent="0.25">
      <c r="A263" s="1" t="s">
        <v>1187</v>
      </c>
      <c r="B263" s="1" t="s">
        <v>1186</v>
      </c>
      <c r="C263" s="1" t="s">
        <v>1185</v>
      </c>
      <c r="D263" s="1" t="s">
        <v>1197</v>
      </c>
      <c r="E263" s="1" t="s">
        <v>1188</v>
      </c>
      <c r="F263" s="1" t="s">
        <v>1018</v>
      </c>
      <c r="G263" s="1" t="s">
        <v>1074</v>
      </c>
      <c r="H263" t="str">
        <f t="shared" si="29"/>
        <v/>
      </c>
    </row>
    <row r="264" spans="1:8" x14ac:dyDescent="0.25">
      <c r="A264" s="1" t="s">
        <v>1190</v>
      </c>
      <c r="B264" s="1" t="s">
        <v>1191</v>
      </c>
      <c r="C264" s="1" t="s">
        <v>1189</v>
      </c>
      <c r="D264" s="1" t="s">
        <v>1198</v>
      </c>
      <c r="E264" s="1" t="s">
        <v>1192</v>
      </c>
      <c r="F264" s="1" t="s">
        <v>1018</v>
      </c>
      <c r="G264" s="1" t="s">
        <v>1074</v>
      </c>
      <c r="H264" t="str">
        <f t="shared" si="29"/>
        <v/>
      </c>
    </row>
    <row r="265" spans="1:8" x14ac:dyDescent="0.25">
      <c r="A265" s="1" t="s">
        <v>1203</v>
      </c>
      <c r="B265" s="1" t="s">
        <v>1202</v>
      </c>
      <c r="C265" s="1" t="s">
        <v>1193</v>
      </c>
      <c r="D265" s="1" t="s">
        <v>1196</v>
      </c>
      <c r="E265" s="1" t="s">
        <v>1205</v>
      </c>
      <c r="F265" s="1" t="s">
        <v>1018</v>
      </c>
      <c r="G265" s="1" t="s">
        <v>1074</v>
      </c>
      <c r="H265" t="str">
        <f t="shared" si="29"/>
        <v/>
      </c>
    </row>
    <row r="266" spans="1:8" x14ac:dyDescent="0.25">
      <c r="A266" s="1" t="s">
        <v>1204</v>
      </c>
      <c r="B266" s="1" t="s">
        <v>1201</v>
      </c>
      <c r="C266" s="1" t="s">
        <v>1194</v>
      </c>
      <c r="D266" s="1" t="s">
        <v>1195</v>
      </c>
      <c r="E266" s="1" t="s">
        <v>1206</v>
      </c>
      <c r="F266" s="1" t="s">
        <v>1018</v>
      </c>
      <c r="G266" s="1" t="s">
        <v>1074</v>
      </c>
      <c r="H266" t="str">
        <f>IF(ISNUMBER(SEARCH("Voiceless",A266)),0, IF(ISNUMBER(SEARCH("Voiced",A266)),1,""))</f>
        <v/>
      </c>
    </row>
    <row r="267" spans="1:8" x14ac:dyDescent="0.25">
      <c r="A267" s="1" t="s">
        <v>1215</v>
      </c>
      <c r="B267" s="1" t="s">
        <v>1209</v>
      </c>
      <c r="C267" s="1" t="s">
        <v>1207</v>
      </c>
      <c r="D267" s="1" t="s">
        <v>1210</v>
      </c>
      <c r="E267" s="1" t="s">
        <v>1208</v>
      </c>
      <c r="F267" s="1" t="s">
        <v>1018</v>
      </c>
      <c r="G267" s="1" t="s">
        <v>1074</v>
      </c>
      <c r="H267" t="str">
        <f>IF(ISNUMBER(SEARCH("Voiceless",A267)),0, IF(ISNUMBER(SEARCH("Voiced",A267)),1,""))</f>
        <v/>
      </c>
    </row>
    <row r="268" spans="1:8" x14ac:dyDescent="0.25">
      <c r="A268" s="1" t="s">
        <v>429</v>
      </c>
      <c r="B268" s="1" t="s">
        <v>1212</v>
      </c>
      <c r="C268" s="1" t="s">
        <v>1211</v>
      </c>
      <c r="D268" s="1" t="s">
        <v>1213</v>
      </c>
      <c r="E268" s="1" t="s">
        <v>1214</v>
      </c>
      <c r="F268" s="1" t="s">
        <v>1018</v>
      </c>
      <c r="G268" s="1" t="s">
        <v>1074</v>
      </c>
      <c r="H268" t="str">
        <f>IF(ISNUMBER(SEARCH("Voiceless",A268)),0, IF(ISNUMBER(SEARCH("Voiced",A268)),1,""))</f>
        <v/>
      </c>
    </row>
    <row r="269" spans="1:8" x14ac:dyDescent="0.25">
      <c r="A269" s="1" t="s">
        <v>1219</v>
      </c>
      <c r="B269" s="1" t="s">
        <v>1220</v>
      </c>
      <c r="C269" s="1" t="s">
        <v>1217</v>
      </c>
      <c r="D269" s="1" t="s">
        <v>1221</v>
      </c>
      <c r="E269" s="1" t="s">
        <v>1218</v>
      </c>
      <c r="F269" s="1" t="s">
        <v>1018</v>
      </c>
      <c r="G269" s="1" t="s">
        <v>1074</v>
      </c>
      <c r="H269" t="str">
        <f>IF(ISNUMBER(SEARCH("Voiceless",A269)),0, IF(ISNUMBER(SEARCH("Voiced",A269)),1,""))</f>
        <v/>
      </c>
    </row>
    <row r="270" spans="1:8" x14ac:dyDescent="0.25">
      <c r="A270" s="1" t="s">
        <v>1226</v>
      </c>
      <c r="B270" s="1" t="s">
        <v>1225</v>
      </c>
      <c r="C270" s="1" t="s">
        <v>1222</v>
      </c>
      <c r="D270" s="1" t="s">
        <v>1223</v>
      </c>
      <c r="E270" s="1" t="s">
        <v>1224</v>
      </c>
      <c r="F270" s="1" t="s">
        <v>1019</v>
      </c>
      <c r="G270" s="1" t="s">
        <v>1074</v>
      </c>
      <c r="H270" t="str">
        <f>IF(ISNUMBER(SEARCH("Voiceless",B270)),0, IF(ISNUMBER(SEARCH("Voiced",B270)),1,""))</f>
        <v/>
      </c>
    </row>
    <row r="271" spans="1:8" x14ac:dyDescent="0.25">
      <c r="A271" s="1" t="s">
        <v>1228</v>
      </c>
      <c r="B271" s="1" t="s">
        <v>1229</v>
      </c>
      <c r="C271" s="1" t="s">
        <v>1227</v>
      </c>
      <c r="D271" s="1" t="s">
        <v>1230</v>
      </c>
      <c r="E271" s="1" t="s">
        <v>1231</v>
      </c>
      <c r="F271" s="1" t="s">
        <v>1018</v>
      </c>
      <c r="G271" s="1" t="s">
        <v>1074</v>
      </c>
      <c r="H271" t="str">
        <f>IF(ISNUMBER(SEARCH("Voiceless",A271)),0, IF(ISNUMBER(SEARCH("Voiced",A271)),1,""))</f>
        <v/>
      </c>
    </row>
    <row r="272" spans="1:8" x14ac:dyDescent="0.25">
      <c r="A272" s="1" t="s">
        <v>1234</v>
      </c>
      <c r="B272" s="1" t="s">
        <v>1235</v>
      </c>
      <c r="C272" s="1" t="s">
        <v>1232</v>
      </c>
      <c r="D272" s="1" t="s">
        <v>1236</v>
      </c>
      <c r="E272" s="1" t="s">
        <v>1233</v>
      </c>
      <c r="F272" s="1" t="s">
        <v>1018</v>
      </c>
      <c r="G272" s="1" t="s">
        <v>1074</v>
      </c>
      <c r="H272" t="str">
        <f>IF(ISNUMBER(SEARCH("Voiceless",A272)),0, IF(ISNUMBER(SEARCH("Voiced",A272)),1,""))</f>
        <v/>
      </c>
    </row>
    <row r="273" spans="1:8" x14ac:dyDescent="0.25">
      <c r="A273" s="1" t="s">
        <v>1239</v>
      </c>
      <c r="B273" s="1" t="s">
        <v>1238</v>
      </c>
      <c r="C273" s="1" t="s">
        <v>1241</v>
      </c>
      <c r="D273" s="1" t="s">
        <v>1240</v>
      </c>
      <c r="E273" s="1" t="s">
        <v>1237</v>
      </c>
      <c r="F273" s="1" t="s">
        <v>1018</v>
      </c>
      <c r="G273" s="1" t="s">
        <v>1074</v>
      </c>
      <c r="H273" t="str">
        <f>IF(ISNUMBER(SEARCH("Voiceless",A273)),0, IF(ISNUMBER(SEARCH("Voiced",A273)),1,""))</f>
        <v/>
      </c>
    </row>
    <row r="274" spans="1:8" x14ac:dyDescent="0.25">
      <c r="A274" s="1" t="s">
        <v>1243</v>
      </c>
      <c r="B274" s="1" t="s">
        <v>1244</v>
      </c>
      <c r="C274" s="1" t="s">
        <v>1242</v>
      </c>
      <c r="D274" s="1" t="s">
        <v>1242</v>
      </c>
      <c r="E274" s="1"/>
      <c r="F274" s="1" t="s">
        <v>1169</v>
      </c>
      <c r="G274" s="1" t="s">
        <v>1073</v>
      </c>
      <c r="H274" t="str">
        <f>IF(ISNUMBER(SEARCH("Voiceless",A274)),0, IF(ISNUMBER(SEARCH("Voiced",A274)),1,""))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defaultColWidth="9.140625" defaultRowHeight="12.75" x14ac:dyDescent="0.2"/>
  <cols>
    <col min="1" max="1" width="46.42578125" style="2" bestFit="1" customWidth="1"/>
    <col min="2" max="2" width="40.85546875" style="2" bestFit="1" customWidth="1"/>
    <col min="3" max="3" width="9.28515625" style="2" customWidth="1"/>
    <col min="4" max="4" width="10" style="2" customWidth="1"/>
    <col min="5" max="5" width="14.42578125" style="2" bestFit="1" customWidth="1"/>
    <col min="6" max="6" width="9.140625" style="2"/>
    <col min="7" max="7" width="11.28515625" style="2" bestFit="1" customWidth="1"/>
    <col min="8" max="8" width="9.28515625" style="2" customWidth="1"/>
    <col min="9" max="12" width="9.140625" style="2"/>
    <col min="13" max="13" width="10.28515625" style="2" customWidth="1"/>
    <col min="14" max="14" width="9.140625" style="2"/>
    <col min="15" max="15" width="9.28515625" style="2" customWidth="1"/>
    <col min="16" max="16384" width="9.140625" style="2"/>
  </cols>
  <sheetData>
    <row r="1" spans="1:22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2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2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2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2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2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2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2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2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2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2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2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2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2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2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2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2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2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2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2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2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2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2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2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2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2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2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2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2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2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2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2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2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2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2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2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2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2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2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2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2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2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2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2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2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2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2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2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2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2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2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2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2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2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2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2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2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2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2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2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2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2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2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2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2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2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2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2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2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2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2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2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2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2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2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2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2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2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2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2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2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2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2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2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2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2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2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2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2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2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2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2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2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2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2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2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2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2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2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2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2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2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2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2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2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2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2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2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2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2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2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2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2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2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2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2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2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2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2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2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2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2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2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2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2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2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2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2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2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2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2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2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2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2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2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2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2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2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2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2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2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2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2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2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2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2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2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2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2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2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2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2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2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2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2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2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2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2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2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2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2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2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2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2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2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2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2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2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2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2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2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2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2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2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2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2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2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2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2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2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2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2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2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2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2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2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2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2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2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2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2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2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2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2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2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2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2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2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2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2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2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2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2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2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2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2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2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2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2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2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2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2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2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2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2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2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2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2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2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2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2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2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2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2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2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2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2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2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2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2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2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2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2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2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2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2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2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2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2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2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2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2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2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2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2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2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2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2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2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2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2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2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2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2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2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2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2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2025-10-08T21:55:14Z</dcterms:modified>
</cp:coreProperties>
</file>