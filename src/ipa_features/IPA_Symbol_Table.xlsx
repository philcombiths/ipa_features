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92254A38-5BC4-4644-8C14-E751B24DD581}" xr6:coauthVersionLast="47" xr6:coauthVersionMax="47" xr10:uidLastSave="{00000000-0000-0000-0000-000000000000}"/>
  <bookViews>
    <workbookView xWindow="3860" yWindow="560" windowWidth="17880" windowHeight="14500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3" i="1" l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<sst xmlns="http://schemas.openxmlformats.org/spreadsheetml/2006/main" count="3904" uniqueCount="1242">
  <si>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</si>
  <si>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</si>
  <si>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</si>
  <si>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</si>
  <si>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</si>
  <si>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</si>
  <si>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</si>
  <si>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</si>
  <si>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</si>
  <si>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</si>
  <si>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</si>
  <si>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</si>
  <si>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</si>
  <si>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</si>
  <si>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</si>
  <si>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</si>
  <si>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</si>
  <si>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</si>
  <si>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</si>
  <si>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</si>
  <si>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</si>
  <si>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</si>
  <si>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</si>
  <si>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</si>
  <si>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</si>
  <si>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</si>
  <si>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</si>
  <si>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</si>
  <si>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</si>
  <si>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</si>
  <si>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</si>
  <si>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</si>
  <si>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</si>
  <si>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</si>
  <si>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</si>
  <si>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</si>
  <si>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</si>
  <si>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</si>
  <si>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</si>
  <si>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</si>
  <si>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</si>
  <si>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</si>
  <si>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</si>
  <si>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</si>
  <si>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</si>
  <si>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</si>
  <si>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</si>
  <si>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</si>
  <si>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</si>
  <si>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</si>
  <si>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</si>
  <si>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</si>
  <si>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</si>
  <si>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</si>
  <si>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</si>
  <si>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</si>
  <si>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</si>
  <si>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</si>
  <si>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</si>
  <si>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</si>
  <si>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</si>
  <si>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</si>
  <si>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</si>
  <si>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</si>
  <si>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</si>
  <si>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</si>
  <si>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</si>
  <si>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</si>
  <si>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</si>
  <si>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</si>
  <si>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</si>
  <si>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</si>
  <si>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</si>
  <si>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</si>
  <si>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</si>
  <si>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</si>
  <si>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</si>
  <si>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</si>
  <si>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</si>
  <si>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</si>
  <si>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</si>
  <si>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</si>
  <si>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</si>
  <si>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</si>
  <si>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</si>
  <si>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</si>
  <si>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</si>
  <si>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</si>
  <si>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</si>
  <si>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</si>
  <si>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</si>
  <si>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</si>
  <si>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</si>
  <si>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</si>
  <si>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</si>
  <si>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</si>
  <si>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</si>
  <si>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</si>
  <si>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</si>
  <si>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</si>
  <si>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</si>
  <si>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</si>
  <si>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</si>
  <si>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</si>
  <si>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</si>
  <si>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</si>
  <si>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</si>
  <si>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</si>
  <si>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</si>
  <si>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</si>
  <si>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</si>
  <si>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</si>
  <si>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</si>
  <si>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</si>
  <si>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</si>
  <si>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</si>
  <si>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</si>
  <si>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</si>
  <si>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</si>
  <si>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</si>
  <si>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</si>
  <si>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</si>
  <si>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</si>
  <si>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</si>
  <si>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</si>
  <si>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</si>
  <si>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</si>
  <si>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</si>
  <si>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</si>
  <si>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</si>
  <si>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</si>
  <si>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</si>
  <si>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</si>
  <si>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</si>
  <si>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</si>
  <si>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</si>
  <si>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</si>
  <si>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</si>
  <si>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</si>
  <si>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</si>
  <si>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</si>
  <si>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</si>
  <si>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</si>
  <si>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</si>
  <si>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</si>
  <si>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</si>
  <si>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</si>
  <si>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</si>
  <si>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</si>
  <si>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</si>
  <si>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</si>
  <si>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</si>
  <si>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</si>
  <si>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</si>
  <si>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</si>
  <si>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</si>
  <si>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</si>
  <si>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</si>
  <si>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</si>
  <si>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</si>
  <si>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</si>
  <si>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</si>
  <si>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</si>
  <si>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</si>
  <si>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</si>
  <si>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</si>
  <si>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</si>
  <si>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</si>
  <si>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</si>
  <si>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</si>
  <si>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</si>
  <si>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</si>
  <si>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</si>
  <si>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</si>
  <si>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</si>
  <si>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</si>
  <si>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</si>
  <si>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</si>
  <si>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</si>
  <si>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</si>
  <si>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</si>
  <si>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</si>
  <si>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</si>
  <si>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</si>
  <si>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</si>
  <si>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</si>
  <si>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</si>
  <si>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</si>
  <si>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</si>
  <si>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</si>
  <si>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</si>
  <si>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</si>
  <si>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</si>
  <si>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</si>
  <si>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</si>
  <si>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</si>
  <si>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</si>
  <si>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</si>
  <si>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</si>
  <si>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</si>
  <si>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</si>
  <si>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</si>
  <si>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</si>
  <si>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</si>
  <si>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</si>
  <si>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</si>
  <si>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</si>
  <si>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</si>
  <si>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</si>
  <si>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</si>
  <si>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</si>
  <si>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</si>
  <si>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</si>
  <si>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</si>
  <si>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</si>
  <si>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</si>
  <si>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</si>
  <si>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</si>
  <si>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</si>
  <si>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</si>
  <si>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</si>
  <si>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</si>
  <si>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</si>
  <si>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</si>
  <si>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</si>
  <si>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</si>
  <si>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</si>
  <si>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</si>
  <si>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</si>
  <si>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</si>
  <si>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</si>
  <si>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</si>
  <si>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</si>
  <si>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</si>
  <si>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</si>
  <si>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</si>
  <si>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</si>
  <si>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</si>
  <si>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</si>
  <si>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</si>
  <si>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</si>
  <si>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</si>
  <si>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</si>
  <si>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</si>
  <si>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</si>
  <si>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</si>
  <si>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</si>
  <si>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</si>
  <si>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</si>
  <si>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</si>
  <si>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</si>
  <si>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</si>
  <si>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</si>
  <si>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</si>
  <si>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</si>
  <si>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</si>
  <si>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</si>
  <si>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</si>
  <si>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</si>
  <si>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</si>
  <si>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</si>
  <si>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</si>
  <si>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</si>
  <si>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</si>
  <si>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</si>
  <si>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</si>
  <si>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</si>
  <si>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</si>
  <si>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</si>
  <si>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</si>
  <si>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</si>
  <si>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</si>
  <si>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</si>
  <si>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</si>
  <si>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</si>
  <si>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</si>
  <si>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</si>
  <si>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</si>
  <si>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</si>
  <si>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</si>
  <si>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</si>
  <si>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</si>
  <si>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</si>
  <si>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</si>
  <si>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</si>
  <si>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</si>
  <si>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</si>
  <si>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</si>
  <si>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</si>
  <si>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</si>
  <si>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</si>
  <si>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</si>
  <si>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</si>
  <si>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</si>
  <si>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</si>
  <si>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</si>
  <si>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</si>
  <si>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</si>
  <si>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</si>
  <si>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</si>
  <si>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</si>
  <si>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</si>
  <si>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</si>
  <si>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</si>
  <si>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</si>
  <si>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</si>
  <si>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</si>
  <si>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</si>
  <si>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</si>
  <si>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</si>
  <si>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</si>
  <si>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</si>
  <si>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</si>
  <si>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</si>
  <si>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</si>
  <si>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</si>
  <si>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</si>
  <si>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</si>
  <si>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</si>
  <si>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</si>
  <si>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</si>
  <si>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</si>
  <si>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</si>
  <si>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</si>
  <si>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</si>
  <si>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</si>
  <si>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</si>
  <si>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</si>
  <si>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</si>
  <si>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</si>
  <si>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</si>
  <si>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</si>
  <si>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</si>
  <si>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</si>
  <si>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</si>
  <si>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</si>
  <si>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</si>
  <si>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</si>
  <si>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</si>
  <si>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</si>
  <si>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</si>
  <si>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</si>
  <si>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</si>
  <si>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</si>
  <si>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</si>
  <si>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</si>
  <si>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</si>
  <si>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</si>
  <si>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</si>
  <si>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</si>
  <si>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</si>
  <si>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</si>
  <si>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</si>
  <si>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</si>
  <si>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</si>
  <si>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</si>
  <si>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</si>
  <si>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</si>
  <si>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</si>
  <si>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</si>
  <si>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</si>
  <si>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</si>
  <si>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</si>
  <si>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</si>
  <si>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</si>
  <si>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</si>
  <si>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</si>
  <si>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</si>
  <si>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</si>
  <si>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</si>
  <si>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</si>
  <si>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</si>
  <si>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</si>
  <si>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</si>
  <si>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</si>
  <si>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</si>
  <si>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</si>
  <si>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</si>
  <si>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</si>
  <si>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</si>
  <si>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</si>
  <si>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</si>
  <si>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</si>
  <si>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</si>
  <si>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</si>
  <si>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</si>
  <si>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</si>
  <si>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</si>
  <si>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</si>
  <si>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</si>
  <si>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</si>
  <si>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</si>
  <si>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</si>
  <si>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</si>
  <si>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</si>
  <si>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</si>
  <si>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</si>
  <si>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</si>
  <si>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</si>
  <si>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</si>
  <si>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</si>
  <si>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</si>
  <si>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</si>
  <si>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</si>
  <si>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</si>
  <si>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</si>
  <si>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</si>
  <si>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</si>
  <si>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</si>
  <si>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</si>
  <si>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</si>
  <si>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</si>
  <si>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</si>
  <si>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</si>
  <si>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</si>
  <si>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</si>
  <si>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</si>
  <si>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</si>
  <si>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</si>
  <si>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</si>
  <si>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</si>
  <si>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</si>
  <si>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</si>
  <si>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</si>
  <si>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</si>
  <si>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</si>
  <si>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</si>
  <si>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</si>
  <si>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</si>
  <si>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</si>
  <si>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</si>
  <si>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</si>
  <si>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</si>
  <si>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</si>
  <si>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</si>
  <si>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</si>
  <si>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</si>
  <si>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</si>
  <si>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</si>
  <si>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</si>
  <si>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</si>
  <si>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</si>
  <si>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</si>
  <si>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</si>
  <si>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</si>
  <si>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</si>
  <si>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</si>
  <si>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</si>
  <si>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</si>
  <si>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</si>
  <si>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</si>
  <si>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</si>
  <si>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</si>
  <si>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</si>
  <si>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</si>
  <si>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</si>
  <si>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</si>
  <si>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</si>
  <si>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</si>
  <si>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</si>
  <si>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</si>
  <si>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</si>
  <si>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</si>
  <si>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</si>
  <si>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</si>
  <si>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</si>
  <si>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</si>
  <si>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</si>
  <si>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</si>
  <si>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</si>
  <si>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</si>
  <si>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</si>
  <si>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</si>
  <si>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</si>
  <si>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</si>
  <si>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</si>
  <si>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</si>
  <si>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</si>
  <si>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</si>
  <si>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</si>
  <si>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</si>
  <si>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</si>
  <si>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</si>
  <si>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</si>
  <si>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</si>
  <si>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</si>
  <si>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</si>
  <si>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</si>
  <si>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</si>
  <si>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</si>
  <si>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</si>
  <si>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</si>
  <si>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</si>
  <si>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</si>
  <si>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</si>
  <si>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</si>
  <si>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</si>
  <si>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</si>
  <si>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</si>
  <si>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</si>
  <si>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</si>
  <si>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</si>
  <si>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</si>
  <si>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</si>
  <si>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</si>
  <si>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</si>
  <si>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</si>
  <si>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</si>
  <si>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</si>
  <si>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</si>
  <si>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</si>
  <si>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</si>
  <si>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</si>
  <si>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</si>
  <si>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</si>
  <si>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</si>
  <si>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</si>
  <si>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</si>
  <si>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</si>
  <si>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</si>
  <si>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</si>
  <si>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</si>
  <si>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</si>
  <si>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</si>
  <si>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</si>
  <si>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</si>
  <si>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</si>
  <si>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</si>
  <si>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</si>
  <si>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</si>
  <si>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</si>
  <si>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</si>
  <si>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</si>
  <si>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</si>
  <si>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</si>
  <si>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</si>
  <si>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</si>
  <si>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</si>
  <si>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</si>
  <si>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</si>
  <si>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</si>
  <si>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</si>
  <si>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</si>
  <si>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</si>
  <si>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</si>
  <si>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</si>
  <si>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</si>
  <si>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</si>
  <si>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</si>
  <si>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</si>
  <si>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</si>
  <si>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</si>
  <si>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</si>
  <si>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</si>
  <si>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</si>
  <si>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</si>
  <si>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</si>
  <si>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</si>
  <si>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</si>
  <si>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</si>
  <si>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</si>
  <si>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</si>
  <si>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</si>
  <si>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</si>
  <si>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</si>
  <si>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</si>
  <si>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</si>
  <si>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</si>
  <si>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</si>
  <si>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</si>
  <si>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</si>
  <si>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</si>
  <si>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</si>
  <si>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</si>
  <si>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</si>
  <si>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</si>
  <si>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</si>
  <si>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</si>
  <si>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</si>
  <si>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</si>
  <si>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</si>
  <si>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</si>
  <si>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</si>
  <si>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</si>
  <si>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</si>
  <si>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</si>
  <si>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</si>
  <si>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</si>
  <si>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</si>
  <si>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</si>
  <si>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</si>
  <si>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</si>
  <si>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</si>
  <si>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</si>
  <si>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</si>
  <si>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</si>
  <si>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</si>
  <si>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</si>
  <si>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</si>
  <si>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</si>
  <si>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</si>
  <si>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</si>
  <si>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</si>
  <si>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</si>
  <si>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</si>
  <si>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</si>
  <si>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</si>
  <si>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</si>
  <si>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</si>
  <si>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</si>
  <si>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</si>
  <si>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</si>
  <si>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</si>
  <si>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</si>
  <si>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</si>
  <si>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</si>
  <si>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</si>
  <si>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</si>
  <si>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</si>
  <si>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</si>
  <si>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</si>
  <si>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</si>
  <si>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</si>
  <si>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</si>
  <si>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</si>
  <si>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</si>
  <si>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</si>
  <si>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</si>
  <si>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</si>
  <si>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</si>
  <si>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</si>
  <si>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</si>
  <si>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</si>
  <si>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</si>
  <si>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</si>
  <si>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</si>
  <si>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</si>
  <si>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</si>
  <si>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</si>
  <si>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</si>
  <si>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</si>
  <si>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</si>
  <si>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</si>
  <si>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</si>
  <si>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</si>
  <si>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</si>
  <si>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</si>
  <si>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</si>
  <si>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</si>
  <si>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</si>
  <si>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</si>
  <si>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</si>
  <si>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</si>
  <si>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</si>
  <si>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</si>
  <si>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</si>
  <si>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</si>
  <si>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</si>
  <si>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</si>
  <si>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</si>
  <si>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</si>
  <si>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</si>
  <si>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</si>
  <si>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</si>
  <si>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</si>
  <si>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</si>
  <si>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</si>
  <si>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</si>
  <si>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</si>
  <si>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</si>
  <si>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</si>
  <si>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</si>
  <si>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</si>
  <si>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</si>
  <si>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</si>
  <si>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</si>
  <si>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</si>
  <si>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</si>
  <si>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</si>
  <si>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</si>
  <si>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</si>
  <si>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</si>
  <si>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</si>
  <si>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</si>
  <si>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</si>
  <si>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</si>
  <si>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</si>
  <si>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</si>
  <si>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</si>
  <si>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</si>
  <si>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</si>
  <si>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</si>
  <si>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</si>
  <si>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</si>
  <si>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</si>
  <si>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</si>
  <si>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</si>
  <si>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</si>
  <si>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</si>
  <si>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</si>
  <si>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</si>
  <si>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</si>
  <si>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</si>
  <si>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</si>
  <si>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</si>
  <si>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</si>
  <si>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</si>
  <si>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</si>
  <si>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</si>
  <si>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</si>
  <si>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</si>
  <si>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</si>
  <si>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</si>
  <si>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</si>
  <si>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</si>
  <si>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</si>
  <si>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</si>
  <si>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</si>
  <si>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</si>
  <si>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</si>
  <si>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</si>
  <si>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</si>
  <si>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</si>
  <si>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</si>
  <si>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</si>
  <si>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</si>
  <si>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</si>
  <si>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</si>
  <si>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</si>
  <si>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</si>
  <si>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</si>
  <si>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</si>
  <si>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</si>
  <si>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</si>
  <si>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</si>
  <si>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</si>
  <si>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</si>
  <si>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</si>
  <si>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</si>
  <si>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</si>
  <si>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</si>
  <si>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</si>
  <si>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</si>
  <si>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</si>
  <si>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</si>
  <si>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</si>
  <si>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</si>
  <si>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</si>
  <si>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</si>
  <si>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</si>
  <si>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</si>
  <si>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</si>
  <si>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</si>
  <si>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</si>
  <si>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</si>
  <si>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</si>
  <si>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</si>
  <si>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</si>
  <si>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</si>
  <si>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</si>
  <si>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</si>
  <si>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</si>
  <si>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</si>
  <si>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</si>
  <si>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</si>
  <si>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</si>
  <si>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</si>
  <si>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</si>
  <si>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</si>
  <si>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</si>
  <si>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</si>
  <si>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</si>
  <si>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</si>
  <si>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</si>
  <si>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</si>
  <si>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</si>
  <si>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</si>
  <si>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</si>
  <si>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</si>
  <si>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</si>
  <si>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</si>
  <si>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</si>
  <si>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</si>
  <si>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</si>
  <si>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</si>
  <si>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</si>
  <si>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</si>
  <si>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</si>
  <si>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</si>
  <si>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</si>
  <si>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</si>
  <si>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</si>
  <si>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</si>
  <si>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</si>
  <si>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</si>
  <si>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</si>
  <si>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</si>
  <si>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</si>
  <si>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</si>
  <si>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</si>
  <si>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</si>
  <si>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</si>
  <si>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</si>
  <si>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</si>
  <si>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</si>
  <si>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</si>
  <si>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</si>
  <si>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</si>
  <si>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</si>
  <si>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</si>
  <si>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</si>
  <si>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</si>
  <si>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</si>
  <si>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</si>
  <si>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</si>
  <si>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</si>
  <si>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</si>
  <si>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</si>
  <si>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</si>
  <si>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</si>
  <si>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</si>
  <si>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</si>
  <si>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</si>
  <si>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</si>
  <si>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</si>
  <si>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</si>
  <si>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</si>
  <si>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</si>
  <si>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</si>
  <si>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</si>
  <si>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</si>
  <si>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</si>
  <si>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</si>
  <si>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</si>
  <si>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</si>
  <si>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</si>
  <si>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</si>
  <si>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</si>
  <si>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</si>
  <si>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</si>
  <si>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</si>
  <si>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</si>
  <si>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</si>
  <si>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</si>
  <si>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</si>
  <si>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</si>
  <si>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</si>
  <si>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</si>
  <si>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</si>
  <si>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</si>
  <si>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</si>
  <si>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</si>
  <si>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</si>
  <si>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</si>
  <si>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</si>
  <si>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</si>
  <si>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</si>
  <si>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</si>
  <si>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</si>
  <si>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</si>
  <si>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</si>
  <si>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</si>
  <si>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</si>
  <si>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</si>
  <si>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</si>
  <si>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</si>
  <si>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</si>
  <si>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</si>
  <si>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</si>
  <si>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</si>
  <si>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</si>
  <si>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</si>
  <si>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</si>
  <si>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</si>
  <si>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</si>
  <si>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</si>
  <si>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</si>
  <si>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</si>
  <si>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</si>
  <si>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</si>
  <si>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</si>
  <si>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</si>
  <si>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</si>
  <si>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</si>
  <si>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</si>
  <si>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</si>
  <si>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</si>
  <si>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</si>
  <si>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</si>
  <si>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</si>
  <si>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</si>
  <si>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</si>
  <si>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</si>
  <si>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</si>
  <si>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</si>
  <si>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</si>
  <si>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</si>
  <si>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</si>
  <si>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</si>
  <si>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</si>
  <si>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</si>
  <si>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</si>
  <si>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</si>
  <si>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</si>
  <si>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</si>
  <si>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</si>
  <si>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</si>
  <si>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</si>
  <si>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</si>
  <si>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</si>
  <si>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</si>
  <si>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</si>
  <si>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</si>
  <si>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</si>
  <si>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</si>
  <si>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</si>
  <si>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</si>
  <si>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</si>
  <si>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</si>
  <si>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</si>
  <si>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</si>
  <si>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</si>
  <si>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</si>
  <si>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</si>
  <si>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</si>
  <si>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</si>
  <si>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</si>
  <si>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</si>
  <si>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</si>
  <si>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</si>
  <si>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</si>
  <si>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</si>
  <si>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</si>
  <si>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</si>
  <si>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</si>
  <si>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</si>
  <si>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</si>
  <si>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</si>
  <si>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</si>
  <si>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</si>
  <si>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</si>
  <si>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</si>
  <si>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</si>
  <si>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</si>
  <si>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</si>
  <si>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</si>
  <si>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</si>
  <si>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</si>
  <si>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</si>
  <si>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</si>
  <si>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</si>
  <si>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</si>
  <si>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</si>
  <si>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</si>
  <si>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</si>
  <si>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</si>
  <si>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</si>
  <si>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</si>
  <si>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</si>
  <si>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</si>
  <si>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</si>
  <si>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</si>
  <si>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</si>
  <si>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</si>
  <si>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</si>
  <si>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</si>
  <si>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</si>
  <si>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</si>
  <si>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</si>
  <si>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</si>
  <si>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</si>
  <si>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</si>
  <si>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</si>
  <si>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</si>
  <si>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</si>
  <si>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</si>
  <si>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</si>
  <si>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</si>
  <si>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</si>
  <si>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</si>
  <si>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</si>
  <si>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</si>
  <si>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</si>
  <si>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</si>
  <si>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</si>
  <si>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</si>
  <si>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</si>
  <si>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</si>
  <si>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</si>
  <si>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</si>
  <si>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</si>
  <si>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</si>
  <si>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</si>
  <si>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</si>
  <si>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</si>
  <si>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</si>
  <si>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</si>
  <si>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</si>
  <si>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</si>
  <si>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</si>
  <si>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</si>
  <si>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</si>
  <si>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</si>
  <si>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</si>
  <si>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</si>
  <si>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</si>
  <si>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</si>
  <si>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</si>
  <si>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</si>
  <si>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</si>
  <si>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</si>
  <si>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</si>
  <si>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</si>
  <si>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</si>
  <si>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</si>
  <si>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</si>
  <si>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</si>
  <si>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</si>
  <si>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</si>
  <si>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</si>
  <si>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</si>
  <si>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</si>
  <si>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</si>
  <si>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</si>
  <si>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</si>
  <si>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</si>
  <si>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</si>
  <si>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</si>
  <si>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</si>
  <si>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</si>
  <si>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</si>
  <si>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</si>
  <si>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</si>
  <si>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</si>
  <si>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</si>
  <si>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</si>
  <si>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</si>
  <si>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</si>
  <si>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</si>
  <si>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</si>
  <si>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</si>
  <si>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</si>
  <si>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</si>
  <si>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</si>
  <si>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</si>
  <si>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</si>
  <si>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</si>
  <si>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</si>
  <si>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</si>
  <si>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</si>
  <si>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</si>
  <si>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</si>
  <si>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</si>
  <si>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</si>
  <si>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</si>
  <si>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</si>
  <si>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</si>
  <si>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</si>
  <si>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</si>
  <si>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</si>
  <si>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</si>
  <si>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</si>
  <si>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</si>
  <si>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</si>
  <si>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</si>
  <si>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</si>
  <si>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</si>
  <si>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</si>
  <si>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</si>
  <si>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</si>
  <si>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</si>
  <si>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</si>
  <si>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</si>
  <si>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</si>
  <si>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</si>
  <si>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</si>
  <si>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</si>
  <si>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</si>
  <si>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</si>
  <si>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</si>
  <si>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</si>
  <si>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</si>
  <si>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</si>
  <si>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</si>
  <si>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</si>
  <si>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</si>
  <si>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</si>
  <si>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</si>
  <si>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</si>
  <si>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</si>
  <si>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</si>
  <si>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</si>
  <si>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</si>
  <si>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</si>
  <si>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</si>
  <si>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</si>
  <si>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</si>
  <si>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</si>
  <si>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</si>
  <si>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</si>
  <si>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</si>
  <si>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</si>
  <si>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</si>
  <si>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</si>
  <si>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</si>
  <si>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</si>
  <si>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</si>
  <si>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</si>
  <si>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</si>
  <si>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</si>
  <si>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</si>
  <si>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</si>
  <si>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</si>
  <si>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</si>
  <si>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</si>
  <si>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</si>
  <si>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</si>
  <si>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</si>
  <si>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</si>
  <si>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</si>
  <si>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</si>
  <si>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</si>
  <si>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</si>
  <si>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</si>
  <si>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</si>
  <si>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</si>
  <si>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</si>
  <si>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</si>
  <si>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</si>
  <si>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</si>
  <si>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</si>
  <si>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</si>
  <si>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</si>
  <si>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</si>
  <si>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</si>
  <si>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</si>
  <si>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</si>
  <si>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</si>
  <si>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</si>
  <si>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</si>
  <si>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</si>
  <si>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</si>
  <si>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</si>
  <si>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</si>
  <si>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</si>
  <si>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</si>
  <si>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</si>
  <si>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</si>
  <si>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</si>
  <si>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</si>
  <si>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</si>
  <si>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</si>
  <si>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</si>
  <si>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</si>
  <si>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</si>
  <si>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</si>
  <si>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</si>
  <si>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</si>
  <si>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</si>
  <si>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</si>
  <si>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</si>
  <si>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</si>
  <si>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</si>
  <si>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</si>
  <si>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</si>
  <si>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</si>
  <si>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</si>
  <si>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</si>
  <si>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</si>
  <si>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</si>
  <si>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</si>
  <si>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</si>
  <si>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</si>
  <si>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</si>
  <si>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</si>
  <si>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</si>
  <si>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</si>
  <si>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</si>
  <si>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</si>
  <si>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</si>
  <si>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</si>
  <si>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</si>
  <si>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</si>
  <si>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</si>
  <si>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</si>
  <si>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</si>
  <si>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</si>
  <si>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</si>
  <si>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</si>
  <si>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</si>
  <si>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</si>
  <si>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</si>
  <si>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</si>
  <si>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</si>
  <si>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</si>
  <si>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</si>
  <si>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</si>
  <si>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</si>
  <si>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</si>
  <si>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</si>
  <si>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</si>
  <si>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</si>
  <si>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</si>
  <si>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</si>
  <si>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</si>
  <si>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</si>
  <si>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</si>
  <si>
    <t>ᶿ</t>
  </si>
  <si>
    <t>0x1dbf</t>
  </si>
  <si>
    <t>superscript θ</t>
  </si>
  <si>
    <t>◌ᶿ</t>
  </si>
  <si>
    <t>̡</t>
  </si>
  <si>
    <t>COMBINING PALATALIZED HOOK BELOW</t>
  </si>
  <si>
    <t>̡◌</t>
  </si>
  <si>
    <t>0x0321</t>
  </si>
  <si>
    <t>Modifier letter small θ</t>
  </si>
  <si>
    <t>Modifier letter small ɹ</t>
  </si>
  <si>
    <t>ʵ</t>
  </si>
  <si>
    <t>0x02b5</t>
  </si>
  <si>
    <t>Modifier letter small turned R with hook</t>
  </si>
  <si>
    <t>superscript ɻ</t>
  </si>
  <si>
    <t>◌ʵ</t>
  </si>
  <si>
    <t>˺</t>
  </si>
  <si>
    <t>◌˺</t>
  </si>
  <si>
    <t>0x02fa</t>
  </si>
  <si>
    <t>MODIFIER LETTER END HIGH TONE</t>
  </si>
  <si>
    <t>End high tone</t>
  </si>
  <si>
    <t>ˣ</t>
  </si>
  <si>
    <t>Modifier letter small X</t>
  </si>
  <si>
    <t>superscript X</t>
  </si>
  <si>
    <t>◌ˣ</t>
  </si>
  <si>
    <t>0x02e3</t>
  </si>
  <si>
    <t>ᵍ</t>
  </si>
  <si>
    <t>0x1d4d</t>
  </si>
  <si>
    <t>Modifier letter small G</t>
  </si>
  <si>
    <t>superscript G</t>
  </si>
  <si>
    <t>◌ᵍ</t>
  </si>
  <si>
    <t>0x02c3</t>
  </si>
  <si>
    <t>Modifier letter right arrowhead</t>
  </si>
  <si>
    <t>Backed</t>
  </si>
  <si>
    <t>◌˃</t>
  </si>
  <si>
    <t>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</si>
</sst>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73" totalsRowShown="0" headerRowDxfId="7">
  <autoFilter ref="A1:X273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73"/>
  <sheetViews>
    <sheetView tabSelected="1" zoomScale="130" zoomScaleNormal="130" workbookViewId="0">
      <pane ySplit="1" topLeftCell="A253" activePane="bottomLeft" state="frozen"/>
      <selection pane="bottomLeft" activeCell="C275" sqref="C275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">
      <c r="A136" s="1" t="s">
        <v>1216</v>
      </c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1073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1073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1073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1073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1073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1073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1073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1073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1073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1073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1073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1073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1073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1073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1073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1073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1073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1073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1073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1073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1073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1073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1073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1073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1073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1073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1073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1073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1073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1073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1073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1073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1073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1073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1073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1073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1020</v>
      </c>
      <c r="G243" s="1" t="s">
        <v>1074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1020</v>
      </c>
      <c r="G244" s="1" t="s">
        <v>1074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1020</v>
      </c>
      <c r="G245" s="1" t="s">
        <v>1074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1020</v>
      </c>
      <c r="G246" s="1" t="s">
        <v>1074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1020</v>
      </c>
      <c r="G247" s="1" t="s">
        <v>1074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1020</v>
      </c>
      <c r="G248" s="1" t="s">
        <v>1074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1020</v>
      </c>
      <c r="G249" s="1" t="s">
        <v>1074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1020</v>
      </c>
      <c r="G250" s="1" t="s">
        <v>1074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1020</v>
      </c>
      <c r="G251" s="1" t="s">
        <v>1074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1020</v>
      </c>
      <c r="G252" s="1" t="s">
        <v>1074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1020</v>
      </c>
      <c r="G253" s="1" t="s">
        <v>1074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1020</v>
      </c>
      <c r="G254" s="1" t="s">
        <v>1074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1074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1074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1020</v>
      </c>
      <c r="G257" s="1" t="s">
        <v>1074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1020</v>
      </c>
      <c r="G258" s="1" t="s">
        <v>1075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1020</v>
      </c>
      <c r="G259" s="1" t="s">
        <v>1074</v>
      </c>
      <c r="H259" t="str">
        <f t="shared" si="28"/>
        <v/>
      </c>
    </row>
    <row r="260" spans="1:8" x14ac:dyDescent="0.2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 t="shared" ref="H260:H265" si="29">IF(ISNUMBER(SEARCH("Voiceless",A260)),0, IF(ISNUMBER(SEARCH("Voiced",A260)),1,""))</f>
        <v/>
      </c>
    </row>
    <row r="261" spans="1:8" x14ac:dyDescent="0.2">
      <c r="A261" s="1" t="s">
        <v>1054</v>
      </c>
      <c r="B261" s="1" t="s">
        <v>1180</v>
      </c>
      <c r="C261" s="1" t="s">
        <v>1178</v>
      </c>
      <c r="D261" s="1" t="s">
        <v>1200</v>
      </c>
      <c r="E261" s="1" t="s">
        <v>1179</v>
      </c>
      <c r="F261" s="1" t="s">
        <v>1018</v>
      </c>
      <c r="G261" s="1" t="s">
        <v>1074</v>
      </c>
      <c r="H261" t="str">
        <f t="shared" si="29"/>
        <v/>
      </c>
    </row>
    <row r="262" spans="1:8" x14ac:dyDescent="0.2">
      <c r="A262" s="1" t="s">
        <v>1184</v>
      </c>
      <c r="B262" s="1" t="s">
        <v>1182</v>
      </c>
      <c r="C262" s="1" t="s">
        <v>1183</v>
      </c>
      <c r="D262" s="1" t="s">
        <v>1199</v>
      </c>
      <c r="E262" s="1" t="s">
        <v>1181</v>
      </c>
      <c r="F262" s="1" t="s">
        <v>1018</v>
      </c>
      <c r="G262" s="1" t="s">
        <v>1074</v>
      </c>
      <c r="H262" t="str">
        <f t="shared" si="29"/>
        <v/>
      </c>
    </row>
    <row r="263" spans="1:8" x14ac:dyDescent="0.2">
      <c r="A263" s="1" t="s">
        <v>1187</v>
      </c>
      <c r="B263" s="1" t="s">
        <v>1186</v>
      </c>
      <c r="C263" s="1" t="s">
        <v>1185</v>
      </c>
      <c r="D263" s="1" t="s">
        <v>1197</v>
      </c>
      <c r="E263" s="1" t="s">
        <v>1188</v>
      </c>
      <c r="F263" s="1" t="s">
        <v>1018</v>
      </c>
      <c r="G263" s="1" t="s">
        <v>1074</v>
      </c>
      <c r="H263" t="str">
        <f t="shared" si="29"/>
        <v/>
      </c>
    </row>
    <row r="264" spans="1:8" x14ac:dyDescent="0.2">
      <c r="A264" s="1" t="s">
        <v>1190</v>
      </c>
      <c r="B264" s="1" t="s">
        <v>1191</v>
      </c>
      <c r="C264" s="1" t="s">
        <v>1189</v>
      </c>
      <c r="D264" s="1" t="s">
        <v>1198</v>
      </c>
      <c r="E264" s="1" t="s">
        <v>1192</v>
      </c>
      <c r="F264" s="1" t="s">
        <v>1018</v>
      </c>
      <c r="G264" s="1" t="s">
        <v>1074</v>
      </c>
      <c r="H264" t="str">
        <f t="shared" si="29"/>
        <v/>
      </c>
    </row>
    <row r="265" spans="1:8" x14ac:dyDescent="0.2">
      <c r="A265" s="1" t="s">
        <v>1203</v>
      </c>
      <c r="B265" s="1" t="s">
        <v>1202</v>
      </c>
      <c r="C265" s="1" t="s">
        <v>1193</v>
      </c>
      <c r="D265" s="1" t="s">
        <v>1196</v>
      </c>
      <c r="E265" s="1" t="s">
        <v>1205</v>
      </c>
      <c r="F265" s="1" t="s">
        <v>1018</v>
      </c>
      <c r="G265" s="1" t="s">
        <v>1074</v>
      </c>
      <c r="H265" t="str">
        <f t="shared" si="29"/>
        <v/>
      </c>
    </row>
    <row r="266" spans="1:8" x14ac:dyDescent="0.2">
      <c r="A266" s="1" t="s">
        <v>1204</v>
      </c>
      <c r="B266" s="1" t="s">
        <v>1201</v>
      </c>
      <c r="C266" s="1" t="s">
        <v>1194</v>
      </c>
      <c r="D266" s="1" t="s">
        <v>1195</v>
      </c>
      <c r="E266" s="1" t="s">
        <v>1206</v>
      </c>
      <c r="F266" s="1" t="s">
        <v>1018</v>
      </c>
      <c r="G266" s="1" t="s">
        <v>1074</v>
      </c>
      <c r="H266" t="str">
        <f>IF(ISNUMBER(SEARCH("Voiceless",A266)),0, IF(ISNUMBER(SEARCH("Voiced",A266)),1,""))</f>
        <v/>
      </c>
    </row>
    <row r="267" spans="1:8" x14ac:dyDescent="0.2">
      <c r="A267" s="1" t="s">
        <v>1215</v>
      </c>
      <c r="B267" s="1" t="s">
        <v>1209</v>
      </c>
      <c r="C267" s="1" t="s">
        <v>1207</v>
      </c>
      <c r="D267" s="1" t="s">
        <v>1210</v>
      </c>
      <c r="E267" s="1" t="s">
        <v>1208</v>
      </c>
      <c r="F267" s="1" t="s">
        <v>1018</v>
      </c>
      <c r="G267" s="1" t="s">
        <v>1074</v>
      </c>
      <c r="H267" t="str">
        <f>IF(ISNUMBER(SEARCH("Voiceless",A267)),0, IF(ISNUMBER(SEARCH("Voiced",A267)),1,""))</f>
        <v/>
      </c>
    </row>
    <row r="268" spans="1:8" x14ac:dyDescent="0.2">
      <c r="A268" s="1" t="s">
        <v>429</v>
      </c>
      <c r="B268" s="1" t="s">
        <v>1212</v>
      </c>
      <c r="C268" s="1" t="s">
        <v>1211</v>
      </c>
      <c r="D268" s="1" t="s">
        <v>1213</v>
      </c>
      <c r="E268" s="1" t="s">
        <v>1214</v>
      </c>
      <c r="F268" s="1" t="s">
        <v>1018</v>
      </c>
      <c r="G268" s="1" t="s">
        <v>1074</v>
      </c>
      <c r="H268" t="str">
        <f>IF(ISNUMBER(SEARCH("Voiceless",A268)),0, IF(ISNUMBER(SEARCH("Voiced",A268)),1,""))</f>
        <v/>
      </c>
    </row>
    <row r="269" spans="1:8" x14ac:dyDescent="0.2">
      <c r="A269" s="1" t="s">
        <v>1219</v>
      </c>
      <c r="B269" s="1" t="s">
        <v>1220</v>
      </c>
      <c r="C269" s="1" t="s">
        <v>1217</v>
      </c>
      <c r="D269" s="1" t="s">
        <v>1221</v>
      </c>
      <c r="E269" s="1" t="s">
        <v>1218</v>
      </c>
      <c r="F269" s="1" t="s">
        <v>1018</v>
      </c>
      <c r="G269" s="1" t="s">
        <v>1074</v>
      </c>
      <c r="H269" t="str">
        <f>IF(ISNUMBER(SEARCH("Voiceless",A269)),0, IF(ISNUMBER(SEARCH("Voiced",A269)),1,""))</f>
        <v/>
      </c>
    </row>
    <row r="270" spans="1:8" x14ac:dyDescent="0.2">
      <c r="A270" s="1" t="s">
        <v>1226</v>
      </c>
      <c r="B270" s="1" t="s">
        <v>1225</v>
      </c>
      <c r="C270" s="1" t="s">
        <v>1222</v>
      </c>
      <c r="D270" s="1" t="s">
        <v>1223</v>
      </c>
      <c r="E270" s="1" t="s">
        <v>1224</v>
      </c>
      <c r="F270" s="1" t="s">
        <v>1019</v>
      </c>
      <c r="G270" s="1" t="s">
        <v>1074</v>
      </c>
      <c r="H270" t="str">
        <f>IF(ISNUMBER(SEARCH("Voiceless",B270)),0, IF(ISNUMBER(SEARCH("Voiced",B270)),1,""))</f>
        <v/>
      </c>
    </row>
    <row r="271" spans="1:8" x14ac:dyDescent="0.2">
      <c r="A271" s="1" t="s">
        <v>1228</v>
      </c>
      <c r="B271" s="1" t="s">
        <v>1229</v>
      </c>
      <c r="C271" s="1" t="s">
        <v>1227</v>
      </c>
      <c r="D271" s="1" t="s">
        <v>1230</v>
      </c>
      <c r="E271" s="1" t="s">
        <v>1231</v>
      </c>
      <c r="F271" s="1" t="s">
        <v>1018</v>
      </c>
      <c r="G271" s="1" t="s">
        <v>1074</v>
      </c>
      <c r="H271" t="str">
        <f>IF(ISNUMBER(SEARCH("Voiceless",A271)),0, IF(ISNUMBER(SEARCH("Voiced",A271)),1,""))</f>
        <v/>
      </c>
    </row>
    <row r="272" spans="1:8" x14ac:dyDescent="0.2">
      <c r="A272" s="1" t="s">
        <v>1234</v>
      </c>
      <c r="B272" s="1" t="s">
        <v>1235</v>
      </c>
      <c r="C272" s="1" t="s">
        <v>1232</v>
      </c>
      <c r="D272" s="1" t="s">
        <v>1236</v>
      </c>
      <c r="E272" s="1" t="s">
        <v>1233</v>
      </c>
      <c r="F272" s="1" t="s">
        <v>1018</v>
      </c>
      <c r="G272" s="1" t="s">
        <v>1074</v>
      </c>
      <c r="H272" t="str">
        <f>IF(ISNUMBER(SEARCH("Voiceless",A272)),0, IF(ISNUMBER(SEARCH("Voiced",A272)),1,""))</f>
        <v/>
      </c>
    </row>
    <row r="273" spans="1:8" x14ac:dyDescent="0.2">
      <c r="A273" s="1" t="s">
        <v>1239</v>
      </c>
      <c r="B273" s="1" t="s">
        <v>1238</v>
      </c>
      <c r="C273" s="1" t="s">
        <v>1241</v>
      </c>
      <c r="D273" s="1" t="s">
        <v>1240</v>
      </c>
      <c r="E273" s="1" t="s">
        <v>1237</v>
      </c>
      <c r="F273" s="1" t="s">
        <v>1018</v>
      </c>
      <c r="G273" s="1" t="s">
        <v>1074</v>
      </c>
      <c r="H273" t="str">
        <f>IF(ISNUMBER(SEARCH("Voiceless",A273)),0, IF(ISNUMBER(SEARCH("Voiced",A273)),1,""))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2024-08-04T18:55:08Z</dcterms:modified>
</cp:coreProperties>
</file>