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ocuments\github\IPA_symbol_table\"/>
    </mc:Choice>
  </mc:AlternateContent>
  <xr:revisionPtr revIDLastSave="0" documentId="13_ncr:1_{C6B306E8-7B2D-465F-8566-1BB1AE22BCA3}" xr6:coauthVersionLast="47" xr6:coauthVersionMax="47" xr10:uidLastSave="{00000000-0000-0000-0000-000000000000}"/>
  <bookViews>
    <workbookView xWindow="-110" yWindow="-110" windowWidth="38620" windowHeight="21220" xr2:uid="{6C036820-CBD9-4851-A4E3-4573182BB3A6}"/>
  </bookViews>
  <sheets>
    <sheet name="IPA" sheetId="1" r:id="rId1"/>
    <sheet name="features_ref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2" i="1"/>
  <c r="H3" i="1"/>
  <c r="H4" i="1"/>
  <c r="H5" i="1"/>
  <c r="H6" i="1"/>
  <c r="H7" i="1"/>
  <c r="H8" i="1"/>
  <c r="H9" i="1"/>
  <c r="J9" i="1"/>
  <c r="O9" i="1"/>
  <c r="H10" i="1"/>
  <c r="H11" i="1"/>
  <c r="H12" i="1"/>
  <c r="H16" i="1"/>
  <c r="H17" i="1"/>
  <c r="H18" i="1"/>
  <c r="H19" i="1"/>
  <c r="J19" i="1"/>
  <c r="O19" i="1"/>
  <c r="H20" i="1"/>
  <c r="H21" i="1"/>
  <c r="H22" i="1"/>
  <c r="H23" i="1"/>
  <c r="H24" i="1"/>
  <c r="H25" i="1"/>
  <c r="H26" i="1"/>
  <c r="H27" i="1"/>
  <c r="J27" i="1"/>
  <c r="O27" i="1"/>
  <c r="H28" i="1"/>
  <c r="H29" i="1"/>
  <c r="H30" i="1"/>
  <c r="H31" i="1"/>
  <c r="H32" i="1"/>
  <c r="H33" i="1"/>
  <c r="H34" i="1"/>
  <c r="H35" i="1"/>
  <c r="J35" i="1"/>
  <c r="O35" i="1"/>
  <c r="H36" i="1"/>
  <c r="H37" i="1"/>
  <c r="H38" i="1"/>
  <c r="H39" i="1"/>
  <c r="H40" i="1"/>
  <c r="H41" i="1"/>
  <c r="H42" i="1"/>
  <c r="H43" i="1"/>
  <c r="J43" i="1"/>
  <c r="O43" i="1"/>
  <c r="H44" i="1"/>
  <c r="H45" i="1"/>
  <c r="H46" i="1"/>
  <c r="H47" i="1"/>
  <c r="H48" i="1"/>
  <c r="H49" i="1"/>
  <c r="H50" i="1"/>
  <c r="H51" i="1"/>
  <c r="J51" i="1"/>
  <c r="O51" i="1"/>
  <c r="H52" i="1"/>
  <c r="H53" i="1"/>
  <c r="H54" i="1"/>
  <c r="H55" i="1"/>
  <c r="H56" i="1"/>
  <c r="H57" i="1"/>
  <c r="H58" i="1"/>
  <c r="H59" i="1"/>
  <c r="J59" i="1"/>
  <c r="O59" i="1"/>
  <c r="H60" i="1"/>
  <c r="H61" i="1"/>
  <c r="H62" i="1"/>
  <c r="H63" i="1"/>
  <c r="H64" i="1"/>
  <c r="H65" i="1"/>
  <c r="H66" i="1"/>
  <c r="H67" i="1"/>
  <c r="J67" i="1"/>
  <c r="O67" i="1"/>
  <c r="H68" i="1"/>
  <c r="H69" i="1"/>
  <c r="H71" i="1"/>
  <c r="H72" i="1"/>
  <c r="H73" i="1"/>
  <c r="H74" i="1"/>
  <c r="H75" i="1"/>
  <c r="H76" i="1"/>
  <c r="J76" i="1"/>
  <c r="O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K80" i="1"/>
  <c r="K81" i="1"/>
  <c r="K82" i="1"/>
  <c r="K83" i="1"/>
  <c r="K84" i="1"/>
  <c r="K85" i="1"/>
  <c r="K86" i="1"/>
  <c r="K87" i="1"/>
  <c r="K88" i="1"/>
  <c r="K89" i="1"/>
  <c r="K9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2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91" i="1"/>
  <c r="I3" i="1"/>
  <c r="I4" i="1"/>
  <c r="I5" i="1"/>
  <c r="I6" i="1"/>
  <c r="I7" i="1"/>
  <c r="I8" i="1"/>
  <c r="I9" i="1"/>
  <c r="I10" i="1"/>
  <c r="I11" i="1"/>
  <c r="I12" i="1"/>
  <c r="I13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2" i="1"/>
  <c r="I84" i="1"/>
  <c r="I86" i="1"/>
  <c r="I87" i="1"/>
  <c r="I88" i="1"/>
  <c r="I89" i="1"/>
  <c r="I90" i="1"/>
  <c r="I2" i="1"/>
  <c r="J3" i="1"/>
  <c r="J4" i="1"/>
  <c r="J5" i="1"/>
  <c r="J6" i="1"/>
  <c r="J7" i="1"/>
  <c r="J8" i="1"/>
  <c r="J10" i="1"/>
  <c r="J11" i="1"/>
  <c r="J12" i="1"/>
  <c r="J13" i="1"/>
  <c r="J14" i="1"/>
  <c r="O14" i="1"/>
  <c r="J15" i="1"/>
  <c r="J16" i="1"/>
  <c r="J17" i="1"/>
  <c r="J18" i="1"/>
  <c r="J20" i="1"/>
  <c r="J21" i="1"/>
  <c r="J22" i="1"/>
  <c r="J23" i="1"/>
  <c r="J24" i="1"/>
  <c r="J25" i="1"/>
  <c r="J26" i="1"/>
  <c r="J28" i="1"/>
  <c r="J29" i="1"/>
  <c r="J30" i="1"/>
  <c r="J31" i="1"/>
  <c r="J32" i="1"/>
  <c r="J33" i="1"/>
  <c r="J34" i="1"/>
  <c r="J36" i="1"/>
  <c r="J37" i="1"/>
  <c r="J38" i="1"/>
  <c r="J39" i="1"/>
  <c r="J40" i="1"/>
  <c r="J41" i="1"/>
  <c r="J42" i="1"/>
  <c r="J44" i="1"/>
  <c r="J45" i="1"/>
  <c r="J46" i="1"/>
  <c r="J47" i="1"/>
  <c r="J48" i="1"/>
  <c r="J49" i="1"/>
  <c r="J50" i="1"/>
  <c r="J52" i="1"/>
  <c r="J53" i="1"/>
  <c r="J54" i="1"/>
  <c r="J55" i="1"/>
  <c r="J56" i="1"/>
  <c r="J57" i="1"/>
  <c r="J58" i="1"/>
  <c r="J60" i="1"/>
  <c r="J61" i="1"/>
  <c r="J62" i="1"/>
  <c r="J63" i="1"/>
  <c r="J64" i="1"/>
  <c r="J65" i="1"/>
  <c r="J66" i="1"/>
  <c r="J68" i="1"/>
  <c r="J69" i="1"/>
  <c r="J70" i="1"/>
  <c r="O70" i="1"/>
  <c r="J71" i="1"/>
  <c r="J72" i="1"/>
  <c r="J73" i="1"/>
  <c r="J74" i="1"/>
  <c r="J75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2" i="1"/>
  <c r="O75" i="1"/>
  <c r="O66" i="1"/>
  <c r="O58" i="1"/>
  <c r="O50" i="1"/>
  <c r="O42" i="1"/>
  <c r="O34" i="1"/>
  <c r="O26" i="1"/>
  <c r="O18" i="1"/>
  <c r="O8" i="1"/>
  <c r="O74" i="1"/>
  <c r="O65" i="1"/>
  <c r="O57" i="1"/>
  <c r="O49" i="1"/>
  <c r="O41" i="1"/>
  <c r="O33" i="1"/>
  <c r="O25" i="1"/>
  <c r="O17" i="1"/>
  <c r="O7" i="1"/>
  <c r="O73" i="1"/>
  <c r="O64" i="1"/>
  <c r="O56" i="1"/>
  <c r="O48" i="1"/>
  <c r="O40" i="1"/>
  <c r="O32" i="1"/>
  <c r="O24" i="1"/>
  <c r="O16" i="1"/>
  <c r="O6" i="1"/>
  <c r="O72" i="1"/>
  <c r="O63" i="1"/>
  <c r="O55" i="1"/>
  <c r="O47" i="1"/>
  <c r="O39" i="1"/>
  <c r="O31" i="1"/>
  <c r="O23" i="1"/>
  <c r="O13" i="1"/>
  <c r="O5" i="1"/>
  <c r="O71" i="1"/>
  <c r="O62" i="1"/>
  <c r="O54" i="1"/>
  <c r="O46" i="1"/>
  <c r="O38" i="1"/>
  <c r="O30" i="1"/>
  <c r="O22" i="1"/>
  <c r="O12" i="1"/>
  <c r="O4" i="1"/>
  <c r="O78" i="1"/>
  <c r="O69" i="1"/>
  <c r="O61" i="1"/>
  <c r="O53" i="1"/>
  <c r="O45" i="1"/>
  <c r="O37" i="1"/>
  <c r="O29" i="1"/>
  <c r="O21" i="1"/>
  <c r="O11" i="1"/>
  <c r="O3" i="1"/>
  <c r="O77" i="1"/>
  <c r="O68" i="1"/>
  <c r="O60" i="1"/>
  <c r="O52" i="1"/>
  <c r="O44" i="1"/>
  <c r="O36" i="1"/>
  <c r="O28" i="1"/>
  <c r="O20" i="1"/>
  <c r="O10" i="1"/>
  <c r="O2" i="1"/>
</calcChain>
</file>

<file path=xl/sharedStrings.xml><?xml version="1.0" encoding="utf-8"?>
<sst xmlns="http://schemas.openxmlformats.org/spreadsheetml/2006/main" count="3795" uniqueCount="1168">
  <si>
    <t>Description</t>
  </si>
  <si>
    <t>Name</t>
  </si>
  <si>
    <t>Symbol</t>
  </si>
  <si>
    <t>Unicode</t>
  </si>
  <si>
    <t>Voiceless bilabial stop</t>
  </si>
  <si>
    <t>Lower-case P</t>
  </si>
  <si>
    <t>p</t>
  </si>
  <si>
    <t>0x70</t>
  </si>
  <si>
    <t>Voiced bilabial stop</t>
  </si>
  <si>
    <t>Lower-case B</t>
  </si>
  <si>
    <t>b</t>
  </si>
  <si>
    <t>0x62</t>
  </si>
  <si>
    <t>Voiceless alveolar stop</t>
  </si>
  <si>
    <t>Lower-case T</t>
  </si>
  <si>
    <t>t</t>
  </si>
  <si>
    <t>0x74</t>
  </si>
  <si>
    <t>Voiced alveolar stop</t>
  </si>
  <si>
    <t>Lower-case D</t>
  </si>
  <si>
    <t>d</t>
  </si>
  <si>
    <t>0x64</t>
  </si>
  <si>
    <t>Voiceless retroflex stop</t>
  </si>
  <si>
    <t>Right-tail T</t>
  </si>
  <si>
    <t>0x288</t>
  </si>
  <si>
    <t>Voiced retroflex stop</t>
  </si>
  <si>
    <t>Right-tail D</t>
  </si>
  <si>
    <t>0x256</t>
  </si>
  <si>
    <t>Voiceless palatal stop</t>
  </si>
  <si>
    <t>Lower-case C</t>
  </si>
  <si>
    <t>c</t>
  </si>
  <si>
    <t>0x63</t>
  </si>
  <si>
    <t>Voiced palatal stop</t>
  </si>
  <si>
    <t>Barred dotless J</t>
  </si>
  <si>
    <t>0x25f</t>
  </si>
  <si>
    <t>Voiceless velar stop</t>
  </si>
  <si>
    <t>Lower-case K</t>
  </si>
  <si>
    <t>k</t>
  </si>
  <si>
    <t>0x6b</t>
  </si>
  <si>
    <t>Voiced velar stop</t>
  </si>
  <si>
    <t>Opentail lower-case G</t>
  </si>
  <si>
    <t>0x261</t>
  </si>
  <si>
    <t>Voiceless uvular stop</t>
  </si>
  <si>
    <t>Lower-case Q</t>
  </si>
  <si>
    <t>q</t>
  </si>
  <si>
    <t>0x71</t>
  </si>
  <si>
    <t>Voiced uvular stop</t>
  </si>
  <si>
    <t>Small capital G</t>
  </si>
  <si>
    <t>0x262</t>
  </si>
  <si>
    <t>Glottal stop</t>
  </si>
  <si>
    <t>0x294</t>
  </si>
  <si>
    <t>Epiglottal stop</t>
  </si>
  <si>
    <t>Barred glottal stop</t>
  </si>
  <si>
    <t>0x2a1</t>
  </si>
  <si>
    <t>Voiced bilabial nasal</t>
  </si>
  <si>
    <t>Lower-case M</t>
  </si>
  <si>
    <t>m</t>
  </si>
  <si>
    <t>0x6d</t>
  </si>
  <si>
    <t>Voiced labiodental nasal</t>
  </si>
  <si>
    <t>Left-tail M (at right)</t>
  </si>
  <si>
    <t>0x271</t>
  </si>
  <si>
    <t>Voiced alveolar nasal</t>
  </si>
  <si>
    <t>Lower-case N</t>
  </si>
  <si>
    <t>n</t>
  </si>
  <si>
    <t>0x6e</t>
  </si>
  <si>
    <t>Voiced retroflex nasal</t>
  </si>
  <si>
    <t>Right-tail N</t>
  </si>
  <si>
    <t>0x273</t>
  </si>
  <si>
    <t>Voiced palatal nasal</t>
  </si>
  <si>
    <t>Left-tail N (at left)</t>
  </si>
  <si>
    <t>0x272</t>
  </si>
  <si>
    <t>Voiced velar nasal</t>
  </si>
  <si>
    <t>Eng; left-tail N (at right)</t>
  </si>
  <si>
    <t>0x14b</t>
  </si>
  <si>
    <t>Voiced uvular nasal</t>
  </si>
  <si>
    <t>Small capital N</t>
  </si>
  <si>
    <t>0x274</t>
  </si>
  <si>
    <t>Voiceless bilabial fricative</t>
  </si>
  <si>
    <t>Phi</t>
  </si>
  <si>
    <t>0x278</t>
  </si>
  <si>
    <t>Voiced bilabial fricative</t>
  </si>
  <si>
    <t>Beta</t>
  </si>
  <si>
    <t>0x3b2</t>
  </si>
  <si>
    <t>Voiceless labiodental fricative</t>
  </si>
  <si>
    <t>Lower-case F</t>
  </si>
  <si>
    <t>f</t>
  </si>
  <si>
    <t>0x66</t>
  </si>
  <si>
    <t>Voiced labiodental fricative</t>
  </si>
  <si>
    <t>Lower-case V</t>
  </si>
  <si>
    <t>v</t>
  </si>
  <si>
    <t>0x76</t>
  </si>
  <si>
    <t>Voiceless dental fricative</t>
  </si>
  <si>
    <t>Theta</t>
  </si>
  <si>
    <t>0x3b8</t>
  </si>
  <si>
    <t>Voiced dental fricative</t>
  </si>
  <si>
    <t>Eth</t>
  </si>
  <si>
    <t>ð</t>
  </si>
  <si>
    <t>0xf0</t>
  </si>
  <si>
    <t>Voiceless alveolar fricative</t>
  </si>
  <si>
    <t>Lower-case S</t>
  </si>
  <si>
    <t>s</t>
  </si>
  <si>
    <t>0x73</t>
  </si>
  <si>
    <t>Voiced alveolar fricative</t>
  </si>
  <si>
    <t>Lower-case Z</t>
  </si>
  <si>
    <t>z</t>
  </si>
  <si>
    <t>0x7a</t>
  </si>
  <si>
    <t>Voiceless postalveolar fricative</t>
  </si>
  <si>
    <t>Esh</t>
  </si>
  <si>
    <t>0x283</t>
  </si>
  <si>
    <t>Voiced postalveolar fricative</t>
  </si>
  <si>
    <t>Ezh; tailed Z</t>
  </si>
  <si>
    <t>0x292</t>
  </si>
  <si>
    <t>Voiceless retroflex fricative</t>
  </si>
  <si>
    <t>Right-tail S</t>
  </si>
  <si>
    <t>0x282</t>
  </si>
  <si>
    <t>Voiced retroflex fricative</t>
  </si>
  <si>
    <t>Right-tail Z</t>
  </si>
  <si>
    <t>0x290</t>
  </si>
  <si>
    <t>Voiceless palatal fricative</t>
  </si>
  <si>
    <t>C cedilla</t>
  </si>
  <si>
    <t>ç</t>
  </si>
  <si>
    <t>0xe7</t>
  </si>
  <si>
    <t>Voiced palatal fricative</t>
  </si>
  <si>
    <t>Curly-tail J</t>
  </si>
  <si>
    <t>0x29d</t>
  </si>
  <si>
    <t>Voiceless velar fricative</t>
  </si>
  <si>
    <t>Lower-case X</t>
  </si>
  <si>
    <t>x</t>
  </si>
  <si>
    <t>0x78</t>
  </si>
  <si>
    <t>Voiced velar fricative</t>
  </si>
  <si>
    <t>Gamma</t>
  </si>
  <si>
    <t>0x263</t>
  </si>
  <si>
    <t>Voiceless uvular fricative</t>
  </si>
  <si>
    <t>Chi</t>
  </si>
  <si>
    <t>0x3c7</t>
  </si>
  <si>
    <t>Voiced uvular fricative</t>
  </si>
  <si>
    <t>Inverted small capital R</t>
  </si>
  <si>
    <t>0x281</t>
  </si>
  <si>
    <t>Voiceless pharyngeal fricative</t>
  </si>
  <si>
    <t>Barred H</t>
  </si>
  <si>
    <t>0x127</t>
  </si>
  <si>
    <t>Voiced phayngeal fricative</t>
  </si>
  <si>
    <t>Reversed glottal stop</t>
  </si>
  <si>
    <t>0x295</t>
  </si>
  <si>
    <t>Voiceless glottal fricative</t>
  </si>
  <si>
    <t>Lower-case H</t>
  </si>
  <si>
    <t>h</t>
  </si>
  <si>
    <t>0x68</t>
  </si>
  <si>
    <t>Voiced glottal fricative</t>
  </si>
  <si>
    <t>Hooktop H</t>
  </si>
  <si>
    <t>0x266</t>
  </si>
  <si>
    <t>Voiceless alveolar lateral fricative</t>
  </si>
  <si>
    <t>Belted L</t>
  </si>
  <si>
    <t>0x26c</t>
  </si>
  <si>
    <t>Voiced alveolar lateral fricative</t>
  </si>
  <si>
    <t>L-ezh</t>
  </si>
  <si>
    <t>0x26e</t>
  </si>
  <si>
    <t>Voiceless alveopalatal fricative</t>
  </si>
  <si>
    <t>Curly tail C</t>
  </si>
  <si>
    <t>0x255</t>
  </si>
  <si>
    <t>Voiced alveopalatal fricative</t>
  </si>
  <si>
    <t>Curly tail Z</t>
  </si>
  <si>
    <t>0x291</t>
  </si>
  <si>
    <t>Simultaneous voiceless postalveolar and velar fricative</t>
  </si>
  <si>
    <t>Hooktop heng</t>
  </si>
  <si>
    <t>0x267</t>
  </si>
  <si>
    <t>Voiceless epiglottal fricative</t>
  </si>
  <si>
    <t>Small capital H</t>
  </si>
  <si>
    <t>0x29c</t>
  </si>
  <si>
    <t>Voiced epiglottal fricative</t>
  </si>
  <si>
    <t>Barred reversed glottal stop</t>
  </si>
  <si>
    <t>0x2a2</t>
  </si>
  <si>
    <t>Voiceless alveolar affricate</t>
  </si>
  <si>
    <t>Lower-case T-S</t>
  </si>
  <si>
    <t>0x2a6</t>
  </si>
  <si>
    <t>Voiced alveolar affricate</t>
  </si>
  <si>
    <t>Lower-case D-Z</t>
  </si>
  <si>
    <t>0x2a3</t>
  </si>
  <si>
    <t>Voiceless alveopalatal affricate</t>
  </si>
  <si>
    <t>T-esh</t>
  </si>
  <si>
    <t>0x2a7</t>
  </si>
  <si>
    <t>Voiced alveopalatal affricate</t>
  </si>
  <si>
    <t>D-ezh</t>
  </si>
  <si>
    <t>0x2a4</t>
  </si>
  <si>
    <t>Voiceless palatal affricate</t>
  </si>
  <si>
    <t>T-Curly tail C</t>
  </si>
  <si>
    <t>0x2a8</t>
  </si>
  <si>
    <t>D-Curly tail Z</t>
  </si>
  <si>
    <t>0x2a5</t>
  </si>
  <si>
    <t>Voiceless alveolar lateral affricate</t>
  </si>
  <si>
    <t>Barred Lambda</t>
  </si>
  <si>
    <t>0x19b</t>
  </si>
  <si>
    <t>Voiced alveolar lateral affricate</t>
  </si>
  <si>
    <t>Lambda</t>
  </si>
  <si>
    <t>0x3bb</t>
  </si>
  <si>
    <t>Voiced bilabial trill</t>
  </si>
  <si>
    <t>Small capital B</t>
  </si>
  <si>
    <t>0x299</t>
  </si>
  <si>
    <t>Voiced labial flap</t>
  </si>
  <si>
    <t>Hooked V</t>
  </si>
  <si>
    <t>0x2c71</t>
  </si>
  <si>
    <t>Voiced alveolar flap</t>
  </si>
  <si>
    <t>Fish hook R</t>
  </si>
  <si>
    <t>0x27e</t>
  </si>
  <si>
    <t>Voiced alveolar trill</t>
  </si>
  <si>
    <t>Lower-case R</t>
  </si>
  <si>
    <t>r</t>
  </si>
  <si>
    <t>0x72</t>
  </si>
  <si>
    <t>Voiced alveolar approximant</t>
  </si>
  <si>
    <t>Turned R</t>
  </si>
  <si>
    <t>0x279</t>
  </si>
  <si>
    <t>Voiced retroflex flap</t>
  </si>
  <si>
    <t>Right-tail R</t>
  </si>
  <si>
    <t>0x27d</t>
  </si>
  <si>
    <t>Voiced retroflex approximant</t>
  </si>
  <si>
    <t>Turned R, right tail</t>
  </si>
  <si>
    <t>0x27b</t>
  </si>
  <si>
    <t>Voiced uvular trill</t>
  </si>
  <si>
    <t>Small capital R</t>
  </si>
  <si>
    <t>0x280</t>
  </si>
  <si>
    <t>Voiced alveolar lateral flap</t>
  </si>
  <si>
    <t>Turned long-leg R</t>
  </si>
  <si>
    <t>0x27a</t>
  </si>
  <si>
    <t>Voiced alveolar lateral approximant</t>
  </si>
  <si>
    <t>Lower-case L</t>
  </si>
  <si>
    <t>l</t>
  </si>
  <si>
    <t>0x6c</t>
  </si>
  <si>
    <t>Velarized alveolar lateral approximant</t>
  </si>
  <si>
    <t>Lower-case L with tilde; Dark L</t>
  </si>
  <si>
    <t>0x26b</t>
  </si>
  <si>
    <t>Voiced retroflex lateral approximant</t>
  </si>
  <si>
    <t>Right-tail L</t>
  </si>
  <si>
    <t>0x26d</t>
  </si>
  <si>
    <t>Voiced palatal lateral approximant</t>
  </si>
  <si>
    <t>Turned Y</t>
  </si>
  <si>
    <t>0x28e</t>
  </si>
  <si>
    <t>Voiced velar lateral approximant</t>
  </si>
  <si>
    <t>Small capital L</t>
  </si>
  <si>
    <t>0x29f</t>
  </si>
  <si>
    <t>Voiceless labial-velar fricative</t>
  </si>
  <si>
    <t>Turned W</t>
  </si>
  <si>
    <t>0x28d</t>
  </si>
  <si>
    <t>Voiced labial-velar approximant</t>
  </si>
  <si>
    <t>Small W</t>
  </si>
  <si>
    <t>w</t>
  </si>
  <si>
    <t>0x77</t>
  </si>
  <si>
    <t>Voiced labiodental approximant</t>
  </si>
  <si>
    <t>Cursive V</t>
  </si>
  <si>
    <t>0x28b</t>
  </si>
  <si>
    <t>Voiced labial-palatal approximant</t>
  </si>
  <si>
    <t>Turned H</t>
  </si>
  <si>
    <t>0x265</t>
  </si>
  <si>
    <t>Voiced palatal approximant</t>
  </si>
  <si>
    <t>Lower-case J</t>
  </si>
  <si>
    <t>j</t>
  </si>
  <si>
    <t>0x6a</t>
  </si>
  <si>
    <t>Voiced velar approximant</t>
  </si>
  <si>
    <t>Turned M, right leg</t>
  </si>
  <si>
    <t>0x270</t>
  </si>
  <si>
    <t>Bilabial click</t>
  </si>
  <si>
    <t>0x298</t>
  </si>
  <si>
    <t>Dental click</t>
  </si>
  <si>
    <t>Pipe</t>
  </si>
  <si>
    <t>0x1c0</t>
  </si>
  <si>
    <t>Alveolar lateral click</t>
  </si>
  <si>
    <t>Double pipe</t>
  </si>
  <si>
    <t>0x1c1</t>
  </si>
  <si>
    <t>Alveolar click</t>
  </si>
  <si>
    <t>Exclamation point</t>
  </si>
  <si>
    <t>0x1c3</t>
  </si>
  <si>
    <t>Subapical lower alveolar click</t>
  </si>
  <si>
    <t>Upside-down exclamation point</t>
  </si>
  <si>
    <t>¡</t>
  </si>
  <si>
    <t>0xa1</t>
  </si>
  <si>
    <t>Alveopalatal click</t>
  </si>
  <si>
    <t>Double-barred pipe</t>
  </si>
  <si>
    <t>0x1c2</t>
  </si>
  <si>
    <t>Voiced bilabial implosive</t>
  </si>
  <si>
    <t>Hooktop B</t>
  </si>
  <si>
    <t>0x253</t>
  </si>
  <si>
    <t>Voiced alveolar implosive</t>
  </si>
  <si>
    <t>Hooktop D</t>
  </si>
  <si>
    <t>0x257</t>
  </si>
  <si>
    <t>Voiced palatal implosive</t>
  </si>
  <si>
    <t>Hooktop barred dotless J</t>
  </si>
  <si>
    <t>0x284</t>
  </si>
  <si>
    <t>Voiced velar implosive</t>
  </si>
  <si>
    <t>Hooktop opentail G</t>
  </si>
  <si>
    <t>0x260</t>
  </si>
  <si>
    <t>Voiced uvular implosive</t>
  </si>
  <si>
    <t>Hooktop small capital G</t>
  </si>
  <si>
    <t>0x29b</t>
  </si>
  <si>
    <t>Close front unrounded vowel</t>
  </si>
  <si>
    <t>Lower-case I</t>
  </si>
  <si>
    <t>i</t>
  </si>
  <si>
    <t>0x69</t>
  </si>
  <si>
    <t>Close front rounded vowel</t>
  </si>
  <si>
    <t>Lower-case Y</t>
  </si>
  <si>
    <t>y</t>
  </si>
  <si>
    <t>0x79</t>
  </si>
  <si>
    <t>Close central unrounded vowel</t>
  </si>
  <si>
    <t>Barred I</t>
  </si>
  <si>
    <t>0x268</t>
  </si>
  <si>
    <t>Close central rounded vowel</t>
  </si>
  <si>
    <t>Barred U</t>
  </si>
  <si>
    <t>0x289</t>
  </si>
  <si>
    <t>Close back unrounded vowel</t>
  </si>
  <si>
    <t>Turned M</t>
  </si>
  <si>
    <t>0x26f</t>
  </si>
  <si>
    <t>Close back rounded vowel</t>
  </si>
  <si>
    <t>Lower-case U</t>
  </si>
  <si>
    <t>u</t>
  </si>
  <si>
    <t>0x75</t>
  </si>
  <si>
    <t>Near-close near-front unrounded vowel</t>
  </si>
  <si>
    <t>Small capital I</t>
  </si>
  <si>
    <t>0x26a</t>
  </si>
  <si>
    <t>Near-close near-front rounded vowel</t>
  </si>
  <si>
    <t>Small capital Y</t>
  </si>
  <si>
    <t>0x28f</t>
  </si>
  <si>
    <t>Near-close near-back rounded vowel</t>
  </si>
  <si>
    <t>Upsilon</t>
  </si>
  <si>
    <t>0x28a</t>
  </si>
  <si>
    <t>Close-mid front unrounded vowel</t>
  </si>
  <si>
    <t>Lower-case E</t>
  </si>
  <si>
    <t>e</t>
  </si>
  <si>
    <t>0x65</t>
  </si>
  <si>
    <t>Close-mid front rounded vowel</t>
  </si>
  <si>
    <t>Slashed O</t>
  </si>
  <si>
    <t>ø</t>
  </si>
  <si>
    <t>0xf8</t>
  </si>
  <si>
    <t>Close-mid central unrounded vowel</t>
  </si>
  <si>
    <t>Reversed E</t>
  </si>
  <si>
    <t>0x258</t>
  </si>
  <si>
    <t>Close-mid central rounded vowel</t>
  </si>
  <si>
    <t>Barred O</t>
  </si>
  <si>
    <t>0x275</t>
  </si>
  <si>
    <t>Close-mid back unrounded vowel</t>
  </si>
  <si>
    <t>0x264</t>
  </si>
  <si>
    <t>Open-mid back rounded vowel</t>
  </si>
  <si>
    <t>Lower-case O</t>
  </si>
  <si>
    <t>o</t>
  </si>
  <si>
    <t>0x6f</t>
  </si>
  <si>
    <t>Mid-central vowel</t>
  </si>
  <si>
    <t>Schwa</t>
  </si>
  <si>
    <t>0x259</t>
  </si>
  <si>
    <t>Rhoticized mid-central vowel</t>
  </si>
  <si>
    <t>Rhoticized schwa</t>
  </si>
  <si>
    <t>0x25a</t>
  </si>
  <si>
    <t>Open-mid front unrounded vowel</t>
  </si>
  <si>
    <t>Epsilon</t>
  </si>
  <si>
    <t>0x25b</t>
  </si>
  <si>
    <t>Open-mid front rounded vowel</t>
  </si>
  <si>
    <t>Lower-case O-E ligature</t>
  </si>
  <si>
    <t>œ</t>
  </si>
  <si>
    <t>0x153</t>
  </si>
  <si>
    <t>Open-mid central unrounded vowel</t>
  </si>
  <si>
    <t>Reversed epsilon</t>
  </si>
  <si>
    <t>0x25c</t>
  </si>
  <si>
    <t>Open-mid central rounded vowel</t>
  </si>
  <si>
    <t>Closed reversed epsilon</t>
  </si>
  <si>
    <t>0x25e</t>
  </si>
  <si>
    <t>Open-mid back unrounded vowel</t>
  </si>
  <si>
    <t>Turned V</t>
  </si>
  <si>
    <t>0x28c</t>
  </si>
  <si>
    <t>Open O</t>
  </si>
  <si>
    <t>0x254</t>
  </si>
  <si>
    <t>Rhoticized open-mid central unrounded vowel</t>
  </si>
  <si>
    <t>Rhoticized reversed epsilon</t>
  </si>
  <si>
    <t>0x25d</t>
  </si>
  <si>
    <t>Open front unrounded vowel</t>
  </si>
  <si>
    <t>Ash; lower-case A-E ligature</t>
  </si>
  <si>
    <t>æ</t>
  </si>
  <si>
    <t>0xe6</t>
  </si>
  <si>
    <t>Near-open central vowel</t>
  </si>
  <si>
    <t>Turned A</t>
  </si>
  <si>
    <t>0x250</t>
  </si>
  <si>
    <t>Open central unrounded vowel</t>
  </si>
  <si>
    <t>Lower-case A</t>
  </si>
  <si>
    <t>a</t>
  </si>
  <si>
    <t>0x61</t>
  </si>
  <si>
    <t>Open front rounded vowel</t>
  </si>
  <si>
    <t>Small capital O-E ligature</t>
  </si>
  <si>
    <t>0x276</t>
  </si>
  <si>
    <t>Open back unrounded vowel</t>
  </si>
  <si>
    <t>Script A</t>
  </si>
  <si>
    <t>0x251</t>
  </si>
  <si>
    <t>Open back rounded vowel</t>
  </si>
  <si>
    <t>Turned script A</t>
  </si>
  <si>
    <t>0x252</t>
  </si>
  <si>
    <t>Primary stress</t>
  </si>
  <si>
    <t>Vertical stroke (Superior)</t>
  </si>
  <si>
    <t>0x2c8</t>
  </si>
  <si>
    <t>Secondary stress</t>
  </si>
  <si>
    <t>0x2cc</t>
  </si>
  <si>
    <t>Long</t>
  </si>
  <si>
    <t>Length mark</t>
  </si>
  <si>
    <t>0x2d0</t>
  </si>
  <si>
    <t>Affricate or double articulation</t>
  </si>
  <si>
    <t>Top tie bar</t>
  </si>
  <si>
    <t>0x361</t>
  </si>
  <si>
    <t>Bottom tie bar</t>
  </si>
  <si>
    <t>0x35c</t>
  </si>
  <si>
    <t>Minor (foot) group</t>
  </si>
  <si>
    <t>Vertical line</t>
  </si>
  <si>
    <t>|</t>
  </si>
  <si>
    <t>0x7c</t>
  </si>
  <si>
    <t>Major (intonation) group</t>
  </si>
  <si>
    <t>Double vertical line</t>
  </si>
  <si>
    <t>0x2016</t>
  </si>
  <si>
    <t>Half-long</t>
  </si>
  <si>
    <t>Half-length mark</t>
  </si>
  <si>
    <t>0x2d1</t>
  </si>
  <si>
    <t>Syllable break</t>
  </si>
  <si>
    <t>Period</t>
  </si>
  <si>
    <t>0x2e</t>
  </si>
  <si>
    <t>Aspirated</t>
  </si>
  <si>
    <t>Superscript H</t>
  </si>
  <si>
    <t>0x2b0</t>
  </si>
  <si>
    <t>Pre-aspirated</t>
  </si>
  <si>
    <t>0x2b0 + 0x335</t>
  </si>
  <si>
    <t>Unreleased</t>
  </si>
  <si>
    <t>Superscript equals</t>
  </si>
  <si>
    <t>0x207c</t>
  </si>
  <si>
    <t>Labialized</t>
  </si>
  <si>
    <t>Superscript W</t>
  </si>
  <si>
    <t>0x2b7</t>
  </si>
  <si>
    <t>Lateral release</t>
  </si>
  <si>
    <t>Superscript L</t>
  </si>
  <si>
    <t>0x2e1</t>
  </si>
  <si>
    <t>Superscript small turned r</t>
  </si>
  <si>
    <t>0x2b4</t>
  </si>
  <si>
    <t>Palatalized</t>
  </si>
  <si>
    <t>Superscript J</t>
  </si>
  <si>
    <t>0x2b2</t>
  </si>
  <si>
    <t>Velarized</t>
  </si>
  <si>
    <t>Superscript gamma</t>
  </si>
  <si>
    <t>0x2e0</t>
  </si>
  <si>
    <t>Pharyngealized</t>
  </si>
  <si>
    <t>Superscript reversed glottal stop</t>
  </si>
  <si>
    <t>0x2e4</t>
  </si>
  <si>
    <t>Glottalized</t>
  </si>
  <si>
    <t>Superscript glottal stop</t>
  </si>
  <si>
    <t>0x2c0</t>
  </si>
  <si>
    <t>Ejective</t>
  </si>
  <si>
    <t>Apostrophe</t>
  </si>
  <si>
    <t>0x2bc</t>
  </si>
  <si>
    <t>Bilabial prenasalization</t>
  </si>
  <si>
    <t>Superscript lower-case M</t>
  </si>
  <si>
    <t>0x1d50</t>
  </si>
  <si>
    <t>Labiodental prenasalization</t>
  </si>
  <si>
    <t>Superscript left-tail M (at right)</t>
  </si>
  <si>
    <t>0x1dac</t>
  </si>
  <si>
    <t>Alveolar prenasalization</t>
  </si>
  <si>
    <t>Superscript lower-case N</t>
  </si>
  <si>
    <t>0x207f</t>
  </si>
  <si>
    <t>Nasal release</t>
  </si>
  <si>
    <t>0x207f + 0x335</t>
  </si>
  <si>
    <t>Retroflex prenasalization</t>
  </si>
  <si>
    <t>Superscript right-tail N</t>
  </si>
  <si>
    <t>0x1daf</t>
  </si>
  <si>
    <t>Palatal prenasalization</t>
  </si>
  <si>
    <t>Superscript left-tail N</t>
  </si>
  <si>
    <t>0x1dae</t>
  </si>
  <si>
    <t>Velar prenasalization</t>
  </si>
  <si>
    <t>Superscript Eng</t>
  </si>
  <si>
    <t>0x1d51</t>
  </si>
  <si>
    <t>Uvular prenasalization</t>
  </si>
  <si>
    <t>Superscript capital N</t>
  </si>
  <si>
    <t>0x1db0</t>
  </si>
  <si>
    <t>Modifier letter small S</t>
  </si>
  <si>
    <t>Superscript small S</t>
  </si>
  <si>
    <t>0x2e2</t>
  </si>
  <si>
    <t>Modifier letter small Z</t>
  </si>
  <si>
    <t>Superscript small Z</t>
  </si>
  <si>
    <t>0x1dbb</t>
  </si>
  <si>
    <t>Modifier letter small Esh</t>
  </si>
  <si>
    <t>Superscript small Esh</t>
  </si>
  <si>
    <t>0x1db4</t>
  </si>
  <si>
    <t>Modifier letter small Ezh</t>
  </si>
  <si>
    <t>Superscript small Ezh</t>
  </si>
  <si>
    <t>0x1dbe</t>
  </si>
  <si>
    <t>Modifier letter small Schwa</t>
  </si>
  <si>
    <t>Superscript small Schwa</t>
  </si>
  <si>
    <t>0x1d4a</t>
  </si>
  <si>
    <t>Modifier letter small R</t>
  </si>
  <si>
    <t>Superscript small R</t>
  </si>
  <si>
    <t>0x2b3</t>
  </si>
  <si>
    <t>Role-switcher</t>
  </si>
  <si>
    <t>Short stroke overlay; Role-switcher</t>
  </si>
  <si>
    <t>0x335</t>
  </si>
  <si>
    <t>Syllabic</t>
  </si>
  <si>
    <t>Syllabicity mark</t>
  </si>
  <si>
    <t>0x329</t>
  </si>
  <si>
    <t>No audible release; Unreleased</t>
  </si>
  <si>
    <t>Corner</t>
  </si>
  <si>
    <t>0x31a</t>
  </si>
  <si>
    <t>Nasalized</t>
  </si>
  <si>
    <t>Superscript tilde</t>
  </si>
  <si>
    <t>0x303</t>
  </si>
  <si>
    <t>Creaky voiced</t>
  </si>
  <si>
    <t>Subscript tilde</t>
  </si>
  <si>
    <t>0x330</t>
  </si>
  <si>
    <t>Voiceless</t>
  </si>
  <si>
    <t>Under-ring</t>
  </si>
  <si>
    <t>0x325</t>
  </si>
  <si>
    <t>Non-syllabic</t>
  </si>
  <si>
    <t>Subscript arch</t>
  </si>
  <si>
    <t>0x32f</t>
  </si>
  <si>
    <t>Extra-short</t>
  </si>
  <si>
    <t>Breve</t>
  </si>
  <si>
    <t>0x306</t>
  </si>
  <si>
    <t>Dental</t>
  </si>
  <si>
    <t>Subscript bridge</t>
  </si>
  <si>
    <t>0x32a</t>
  </si>
  <si>
    <t>Apical</t>
  </si>
  <si>
    <t>Inverted subscript bridge</t>
  </si>
  <si>
    <t>0x33a</t>
  </si>
  <si>
    <t>Laminal</t>
  </si>
  <si>
    <t>Subscript square</t>
  </si>
  <si>
    <t>0x33b</t>
  </si>
  <si>
    <t>Voiced</t>
  </si>
  <si>
    <t>Subscript wedge</t>
  </si>
  <si>
    <t>0x32c</t>
  </si>
  <si>
    <t>More rounded</t>
  </si>
  <si>
    <t>Subscript right half-ring</t>
  </si>
  <si>
    <t>0x339</t>
  </si>
  <si>
    <t>Less rounded</t>
  </si>
  <si>
    <t>Subscript left half-ring</t>
  </si>
  <si>
    <t>0x31c</t>
  </si>
  <si>
    <t>Centralized</t>
  </si>
  <si>
    <t>Umlaut</t>
  </si>
  <si>
    <t>0x308</t>
  </si>
  <si>
    <t>Breathy voiced</t>
  </si>
  <si>
    <t>Subscript umlaut</t>
  </si>
  <si>
    <t>0x324</t>
  </si>
  <si>
    <t>Raised</t>
  </si>
  <si>
    <t>Raising sign</t>
  </si>
  <si>
    <t>0x31d</t>
  </si>
  <si>
    <t>Lowered</t>
  </si>
  <si>
    <t>Lowering sign</t>
  </si>
  <si>
    <t>0x31e</t>
  </si>
  <si>
    <t>Advanced tongue root</t>
  </si>
  <si>
    <t>Advancing sign</t>
  </si>
  <si>
    <t>0x318</t>
  </si>
  <si>
    <t>Retracted tongue root</t>
  </si>
  <si>
    <t>Retracting sign</t>
  </si>
  <si>
    <t>0x319</t>
  </si>
  <si>
    <t>Advanced</t>
  </si>
  <si>
    <t>Subscript plus</t>
  </si>
  <si>
    <t>0x31f</t>
  </si>
  <si>
    <t>Mid-centralized</t>
  </si>
  <si>
    <t>Over-cross</t>
  </si>
  <si>
    <t>0x33d</t>
  </si>
  <si>
    <t>Retracted</t>
  </si>
  <si>
    <t>Under-bar</t>
  </si>
  <si>
    <t>0x320</t>
  </si>
  <si>
    <t>Lenis</t>
  </si>
  <si>
    <t>Under-dot</t>
  </si>
  <si>
    <t>0x323</t>
  </si>
  <si>
    <t>Over-dot</t>
  </si>
  <si>
    <t>0x307</t>
  </si>
  <si>
    <t>Rhoticity</t>
  </si>
  <si>
    <t>Right hook</t>
  </si>
  <si>
    <t>0x2de</t>
  </si>
  <si>
    <t>Breve Below</t>
  </si>
  <si>
    <t>0x32e</t>
  </si>
  <si>
    <t>Extra low tone</t>
  </si>
  <si>
    <t>Double grave</t>
  </si>
  <si>
    <t>0x30f</t>
  </si>
  <si>
    <t>Low tone</t>
  </si>
  <si>
    <t>Grave accent</t>
  </si>
  <si>
    <t>0x300</t>
  </si>
  <si>
    <t>Mid tone</t>
  </si>
  <si>
    <t>Macron</t>
  </si>
  <si>
    <t>0x304</t>
  </si>
  <si>
    <t>High tone</t>
  </si>
  <si>
    <t>Acute accent</t>
  </si>
  <si>
    <t>0x301</t>
  </si>
  <si>
    <t>Extra high tone</t>
  </si>
  <si>
    <t>Double acute</t>
  </si>
  <si>
    <t>0x30b</t>
  </si>
  <si>
    <t>Rising tone contour</t>
  </si>
  <si>
    <t>0x30c</t>
  </si>
  <si>
    <t>Falling tone contour</t>
  </si>
  <si>
    <t>Circumflex</t>
  </si>
  <si>
    <t>0x302</t>
  </si>
  <si>
    <t>0x1dc4</t>
  </si>
  <si>
    <t>0x1dc5</t>
  </si>
  <si>
    <t>0x1dc8</t>
  </si>
  <si>
    <t>Falling-rising tone contour</t>
  </si>
  <si>
    <t>Falling-rising</t>
  </si>
  <si>
    <t>0x1dc9</t>
  </si>
  <si>
    <t>Tone upstep</t>
  </si>
  <si>
    <t>Up arrow</t>
  </si>
  <si>
    <t>0xa71b</t>
  </si>
  <si>
    <t>Tone downstep</t>
  </si>
  <si>
    <t>Down arrow</t>
  </si>
  <si>
    <t>0xa71c</t>
  </si>
  <si>
    <t>Global rise</t>
  </si>
  <si>
    <t>Upward diagonal arrow</t>
  </si>
  <si>
    <t>0x2197</t>
  </si>
  <si>
    <t>Global fall</t>
  </si>
  <si>
    <t>Downward diagonal arrow</t>
  </si>
  <si>
    <t>0x2198</t>
  </si>
  <si>
    <t>Tone number 1</t>
  </si>
  <si>
    <t>Tone 1</t>
  </si>
  <si>
    <t>0xb9</t>
  </si>
  <si>
    <t>Tone number 2</t>
  </si>
  <si>
    <t>Tone 2</t>
  </si>
  <si>
    <t>0xb2</t>
  </si>
  <si>
    <t>Tone number 3</t>
  </si>
  <si>
    <t>Tone 3</t>
  </si>
  <si>
    <t>0xb3</t>
  </si>
  <si>
    <t>Tone number 4</t>
  </si>
  <si>
    <t>Tone 4</t>
  </si>
  <si>
    <t>0x2074</t>
  </si>
  <si>
    <t>Tone number 5</t>
  </si>
  <si>
    <t>Tone 5</t>
  </si>
  <si>
    <t>0x2075</t>
  </si>
  <si>
    <t>Tone number 6</t>
  </si>
  <si>
    <t>Tone 6</t>
  </si>
  <si>
    <t>0x2076</t>
  </si>
  <si>
    <t>Tone number 7</t>
  </si>
  <si>
    <t>Tone 7</t>
  </si>
  <si>
    <t>0x2077</t>
  </si>
  <si>
    <t>Tone number 8</t>
  </si>
  <si>
    <t>Tone 8</t>
  </si>
  <si>
    <t>0x2078</t>
  </si>
  <si>
    <t>Tone number 9</t>
  </si>
  <si>
    <t>Tone 9</t>
  </si>
  <si>
    <t>0x2079</t>
  </si>
  <si>
    <t>Voiceless labiodental stop</t>
  </si>
  <si>
    <t>Lower-case P; subscript bridge</t>
  </si>
  <si>
    <t>0x70 + 0x32a</t>
  </si>
  <si>
    <t>Voiced labiodental stop</t>
  </si>
  <si>
    <t>Lower-case B; subscript bridge</t>
  </si>
  <si>
    <t>0x62 + 0x32a</t>
  </si>
  <si>
    <t>Voiceless dentolabial stop</t>
  </si>
  <si>
    <t>Lower-case P; superscript bridge</t>
  </si>
  <si>
    <t>0x70 + 0x346</t>
  </si>
  <si>
    <t>Voiced dentolabial stop</t>
  </si>
  <si>
    <t>Lower-case B; superscript bridge</t>
  </si>
  <si>
    <t>0x62 + 0x346</t>
  </si>
  <si>
    <t>Voiceless labioalveolar stop</t>
  </si>
  <si>
    <t>Lower-case P; subscript equals</t>
  </si>
  <si>
    <t>0x70 + 0x347</t>
  </si>
  <si>
    <t>Voiced labioalveolar stop</t>
  </si>
  <si>
    <t>Lower-case B; subscript equals</t>
  </si>
  <si>
    <t>0x62 + 0x347</t>
  </si>
  <si>
    <t>Voiceless linguolabial stop</t>
  </si>
  <si>
    <t>Lower-case T; subscript seagull</t>
  </si>
  <si>
    <t>0x74 + 0x33c</t>
  </si>
  <si>
    <t>Voiced linguolabial stop</t>
  </si>
  <si>
    <t>Lower-case D; subscript seagull</t>
  </si>
  <si>
    <t>0x64 + 0x33c</t>
  </si>
  <si>
    <t>Voiceless interdental stop</t>
  </si>
  <si>
    <t>Lower-case T; subscript and superscript bridge</t>
  </si>
  <si>
    <t>0x74 + 0x32a + 0x346</t>
  </si>
  <si>
    <t>Voiced interdental stop</t>
  </si>
  <si>
    <t>Lower-case D; subscript and superscript bridge</t>
  </si>
  <si>
    <t>0x64 + 0x32a + 0x346</t>
  </si>
  <si>
    <t>Bilabial nareal fricative</t>
  </si>
  <si>
    <t>Lower-case M; superscript dotted tilde</t>
  </si>
  <si>
    <t>0x6d + 0x34b</t>
  </si>
  <si>
    <t>Dentolabial nasal</t>
  </si>
  <si>
    <t>Lower-case M; superscript bridge</t>
  </si>
  <si>
    <t>0x6d + 0x346</t>
  </si>
  <si>
    <t>Labioalveolar nasal</t>
  </si>
  <si>
    <t>Lower-case M; subscript bridge</t>
  </si>
  <si>
    <t>0x6d + 0x347</t>
  </si>
  <si>
    <t>Linguolabial nasal</t>
  </si>
  <si>
    <t>Lower-case N; subscript seagull</t>
  </si>
  <si>
    <t>0x6e + 0x33c</t>
  </si>
  <si>
    <t>Interdental nasal</t>
  </si>
  <si>
    <t>Lower-case N; subscript and superscript bridge</t>
  </si>
  <si>
    <t>0x6e + 0x32a + 0x346</t>
  </si>
  <si>
    <t>Alveolar nareal fricative</t>
  </si>
  <si>
    <t>Lower-case N; superscript dotted tilde</t>
  </si>
  <si>
    <t>0x6e + 0x34b</t>
  </si>
  <si>
    <t>Velar nareal fricative</t>
  </si>
  <si>
    <t>Eng; superscript dotted tilde</t>
  </si>
  <si>
    <t>0x14b + 0x34b</t>
  </si>
  <si>
    <t>Linguolabial lateral approximant</t>
  </si>
  <si>
    <t>Lower-case L; subscript seagull</t>
  </si>
  <si>
    <t>0x6c + 0x33c</t>
  </si>
  <si>
    <t>Linguolabial trill</t>
  </si>
  <si>
    <t>Lower-case R; subscript seagull</t>
  </si>
  <si>
    <t>0x72 + 0x33c</t>
  </si>
  <si>
    <t>Interdental lateral approximant</t>
  </si>
  <si>
    <t>Lower-case L; subscript and superscript bridge</t>
  </si>
  <si>
    <t>0x6c + 0x32a + 0x346</t>
  </si>
  <si>
    <t>Interdental trill</t>
  </si>
  <si>
    <t>Lower-case R; subscript and superscript bridge</t>
  </si>
  <si>
    <t>0x72 + 0x32a + 0x346</t>
  </si>
  <si>
    <t>Lower-case LS</t>
  </si>
  <si>
    <t>0x2aa</t>
  </si>
  <si>
    <t>Lower-case LZ</t>
  </si>
  <si>
    <t>0x2ab</t>
  </si>
  <si>
    <t>Voiceless dentolabial fricative</t>
  </si>
  <si>
    <t>Lower-case F; superscript bridge</t>
  </si>
  <si>
    <t>0x66 + 0x346</t>
  </si>
  <si>
    <t>Voiced dentolabial fricative</t>
  </si>
  <si>
    <t>Lower-case V; superscript bridge</t>
  </si>
  <si>
    <t>0x76 + 0x346</t>
  </si>
  <si>
    <t>Voiceless labioalveolar fricative</t>
  </si>
  <si>
    <t>Lower-case F; subscript equals</t>
  </si>
  <si>
    <t>0x66 + 0x347</t>
  </si>
  <si>
    <t>Voiced labioalveolar fricative</t>
  </si>
  <si>
    <t>Lower-case V; subscript equals</t>
  </si>
  <si>
    <t>0x76 + 0x347</t>
  </si>
  <si>
    <t>Voiceless linguolabial fricative</t>
  </si>
  <si>
    <t>Theta; subscript seagull</t>
  </si>
  <si>
    <t>0x3b8 + 0x33c</t>
  </si>
  <si>
    <t>Voiced linguolabial fricative</t>
  </si>
  <si>
    <t>Eth; subscript seagull</t>
  </si>
  <si>
    <t>0xf0 + 0x33c</t>
  </si>
  <si>
    <t>Voiceless interdental fricative</t>
  </si>
  <si>
    <t>Theta; subscript and superscript bridge</t>
  </si>
  <si>
    <t>0x3b8 + 0x32a + 0x346</t>
  </si>
  <si>
    <t>Voiced interdental fricative</t>
  </si>
  <si>
    <t>Eth; subscript and superscript bridge</t>
  </si>
  <si>
    <t>0xf0 + 0x32a + 0x346</t>
  </si>
  <si>
    <t>Voiceless bidental fricative</t>
  </si>
  <si>
    <t>Lower-case H; subscript and superscript bridge</t>
  </si>
  <si>
    <t>0x68 + 0x32a + 0x346</t>
  </si>
  <si>
    <t>Voiced bidental fricative</t>
  </si>
  <si>
    <t>Hooktop H; subscript and superscript bridge</t>
  </si>
  <si>
    <t>0x266 + 0x32a + 0x346</t>
  </si>
  <si>
    <t>Velopharyngeal fricative</t>
  </si>
  <si>
    <t>Small letter feng</t>
  </si>
  <si>
    <t>0x2a9</t>
  </si>
  <si>
    <t>Bilabial percussive</t>
  </si>
  <si>
    <t>0x2ac</t>
  </si>
  <si>
    <t>Bidental percussive</t>
  </si>
  <si>
    <t>0x2ad</t>
  </si>
  <si>
    <t>Labial spread</t>
  </si>
  <si>
    <t>Subscript left-right arrow</t>
  </si>
  <si>
    <t>0x34d</t>
  </si>
  <si>
    <t>Lower-dental</t>
  </si>
  <si>
    <t>Superscript bridge</t>
  </si>
  <si>
    <t>0x346</t>
  </si>
  <si>
    <t>Interdental/bidental</t>
  </si>
  <si>
    <t>Subscript bridge, superscript bridge</t>
  </si>
  <si>
    <t>0x32a + 0x346</t>
  </si>
  <si>
    <t>Alveolar</t>
  </si>
  <si>
    <t>Subscript equals</t>
  </si>
  <si>
    <t>0x347</t>
  </si>
  <si>
    <t>Labial</t>
  </si>
  <si>
    <t>Subscript seagull</t>
  </si>
  <si>
    <t>0x33c</t>
  </si>
  <si>
    <t>Strong articulation</t>
  </si>
  <si>
    <t>Subscript double syllabicity mark</t>
  </si>
  <si>
    <t>0x348</t>
  </si>
  <si>
    <t>Weak articulation</t>
  </si>
  <si>
    <t>Subscript left angle</t>
  </si>
  <si>
    <t>0x349</t>
  </si>
  <si>
    <t>Whistled articulation</t>
  </si>
  <si>
    <t>Subscript up arrow</t>
  </si>
  <si>
    <t>0x34e</t>
  </si>
  <si>
    <t>Sliding articulation</t>
  </si>
  <si>
    <t>Subscript combining right arrow</t>
  </si>
  <si>
    <t>0x362</t>
  </si>
  <si>
    <t>Denasalized</t>
  </si>
  <si>
    <t>Superscript not tilde</t>
  </si>
  <si>
    <t>0x34a</t>
  </si>
  <si>
    <t>Nareal fricative</t>
  </si>
  <si>
    <t>Superscript dotted tilde</t>
  </si>
  <si>
    <t>0x34b</t>
  </si>
  <si>
    <t>Velopharyngeal frication</t>
  </si>
  <si>
    <t>Superscript almost-equal</t>
  </si>
  <si>
    <t>0x34c</t>
  </si>
  <si>
    <t>Ingressive</t>
  </si>
  <si>
    <t>Downwards arrow</t>
  </si>
  <si>
    <t>0x2193</t>
  </si>
  <si>
    <t>Egressive</t>
  </si>
  <si>
    <t>Upwards arrow</t>
  </si>
  <si>
    <t>0x2191</t>
  </si>
  <si>
    <t>Post-voicing</t>
  </si>
  <si>
    <t>0x2ec</t>
  </si>
  <si>
    <t>Pre-voicing</t>
  </si>
  <si>
    <t>0x2ec + 0x335</t>
  </si>
  <si>
    <t>Distorted</t>
  </si>
  <si>
    <t>Combining Vertical Tilde</t>
  </si>
  <si>
    <t>0x33e</t>
  </si>
  <si>
    <t>ʈ</t>
  </si>
  <si>
    <t>ɖ</t>
  </si>
  <si>
    <t>ɟ</t>
  </si>
  <si>
    <t>ɡ</t>
  </si>
  <si>
    <t>ɢ</t>
  </si>
  <si>
    <t>ʔ</t>
  </si>
  <si>
    <t>ʡ</t>
  </si>
  <si>
    <t>ɱ</t>
  </si>
  <si>
    <t>ɳ</t>
  </si>
  <si>
    <t>ɲ</t>
  </si>
  <si>
    <t>ŋ</t>
  </si>
  <si>
    <t>ɴ</t>
  </si>
  <si>
    <t>ɸ</t>
  </si>
  <si>
    <t>β</t>
  </si>
  <si>
    <t>θ</t>
  </si>
  <si>
    <t>ʃ</t>
  </si>
  <si>
    <t>ʒ</t>
  </si>
  <si>
    <t>ʂ</t>
  </si>
  <si>
    <t>ʐ</t>
  </si>
  <si>
    <t>ʝ</t>
  </si>
  <si>
    <t>ɣ</t>
  </si>
  <si>
    <t>χ</t>
  </si>
  <si>
    <t>ʁ</t>
  </si>
  <si>
    <t>ħ</t>
  </si>
  <si>
    <t>ʕ</t>
  </si>
  <si>
    <t>ɦ</t>
  </si>
  <si>
    <t>ɬ</t>
  </si>
  <si>
    <t>ɮ</t>
  </si>
  <si>
    <t>ɕ</t>
  </si>
  <si>
    <t>ʑ</t>
  </si>
  <si>
    <t>ɧ</t>
  </si>
  <si>
    <t>ʜ</t>
  </si>
  <si>
    <t>ʢ</t>
  </si>
  <si>
    <t>ʦ</t>
  </si>
  <si>
    <t>ʣ</t>
  </si>
  <si>
    <t>ʧ</t>
  </si>
  <si>
    <t>ʤ</t>
  </si>
  <si>
    <t>ʨ</t>
  </si>
  <si>
    <t>ʥ</t>
  </si>
  <si>
    <t>ƛ</t>
  </si>
  <si>
    <t>λ</t>
  </si>
  <si>
    <t>ʙ</t>
  </si>
  <si>
    <t>ⱱ</t>
  </si>
  <si>
    <t>ɾ</t>
  </si>
  <si>
    <t>ɹ</t>
  </si>
  <si>
    <t>ɽ</t>
  </si>
  <si>
    <t>ɻ</t>
  </si>
  <si>
    <t>ʀ</t>
  </si>
  <si>
    <t>ɺ</t>
  </si>
  <si>
    <t>ɫ</t>
  </si>
  <si>
    <t>ɭ</t>
  </si>
  <si>
    <t>ʎ</t>
  </si>
  <si>
    <t>ʟ</t>
  </si>
  <si>
    <t>ʍ</t>
  </si>
  <si>
    <t>ʋ</t>
  </si>
  <si>
    <t>ɥ</t>
  </si>
  <si>
    <t>ɰ</t>
  </si>
  <si>
    <t>Bullʼs eye</t>
  </si>
  <si>
    <t>ʘ</t>
  </si>
  <si>
    <t>ǀ</t>
  </si>
  <si>
    <t>ǁ</t>
  </si>
  <si>
    <t>ǃ</t>
  </si>
  <si>
    <t>ǂ</t>
  </si>
  <si>
    <t>ɓ</t>
  </si>
  <si>
    <t>ɗ</t>
  </si>
  <si>
    <t>ʄ</t>
  </si>
  <si>
    <t>ɠ</t>
  </si>
  <si>
    <t>ʛ</t>
  </si>
  <si>
    <t>ɨ</t>
  </si>
  <si>
    <t>ʉ</t>
  </si>
  <si>
    <t>ɯ</t>
  </si>
  <si>
    <t>ɪ</t>
  </si>
  <si>
    <t>ʏ</t>
  </si>
  <si>
    <t>ʊ</t>
  </si>
  <si>
    <t>ɘ</t>
  </si>
  <si>
    <t>ɵ</t>
  </si>
  <si>
    <t>Ramʼs horns</t>
  </si>
  <si>
    <t>ɤ</t>
  </si>
  <si>
    <t>ə</t>
  </si>
  <si>
    <t>ɚ</t>
  </si>
  <si>
    <t>ɛ</t>
  </si>
  <si>
    <t>ɜ</t>
  </si>
  <si>
    <t>ɞ</t>
  </si>
  <si>
    <t>ʌ</t>
  </si>
  <si>
    <t>ɔ</t>
  </si>
  <si>
    <t>ɝ</t>
  </si>
  <si>
    <t>ɐ</t>
  </si>
  <si>
    <t>ɶ</t>
  </si>
  <si>
    <t>ɑ</t>
  </si>
  <si>
    <t>ɒ</t>
  </si>
  <si>
    <t>ˈ</t>
  </si>
  <si>
    <t>Vertical stroke (Inferior)</t>
  </si>
  <si>
    <t>ˌ</t>
  </si>
  <si>
    <t>ː</t>
  </si>
  <si>
    <t>◌͡</t>
  </si>
  <si>
    <t>◌͜</t>
  </si>
  <si>
    <t>‖</t>
  </si>
  <si>
    <t>ˑ</t>
  </si>
  <si>
    <t>◌ʰ</t>
  </si>
  <si>
    <t>ʰ̵◌</t>
  </si>
  <si>
    <t>◌⁼</t>
  </si>
  <si>
    <t>◌ʷ</t>
  </si>
  <si>
    <t>◌ˡ</t>
  </si>
  <si>
    <t>◌ʴ</t>
  </si>
  <si>
    <t>◌ʲ</t>
  </si>
  <si>
    <t>◌ˠ</t>
  </si>
  <si>
    <t>◌ˤ</t>
  </si>
  <si>
    <t>◌ˀ</t>
  </si>
  <si>
    <t>◌ʼ</t>
  </si>
  <si>
    <t>ᵐ◌</t>
  </si>
  <si>
    <t>ᶬ◌</t>
  </si>
  <si>
    <t>ⁿ◌</t>
  </si>
  <si>
    <t>◌ⁿ̵</t>
  </si>
  <si>
    <t>ᶯ◌</t>
  </si>
  <si>
    <t>ᶮ◌</t>
  </si>
  <si>
    <t>ᵑ◌</t>
  </si>
  <si>
    <t>ᶰ◌</t>
  </si>
  <si>
    <t>◌ˢ</t>
  </si>
  <si>
    <t>◌ᶻ</t>
  </si>
  <si>
    <t>◌ᶴ</t>
  </si>
  <si>
    <t>◌ᶾ</t>
  </si>
  <si>
    <t>◌ᵊ</t>
  </si>
  <si>
    <t>◌ʳ</t>
  </si>
  <si>
    <t>◌̵</t>
  </si>
  <si>
    <t>◌̩</t>
  </si>
  <si>
    <t>◌̚</t>
  </si>
  <si>
    <t>◌̃</t>
  </si>
  <si>
    <t>◌̰</t>
  </si>
  <si>
    <t>◌̥</t>
  </si>
  <si>
    <t>◌̯</t>
  </si>
  <si>
    <t>◌̆</t>
  </si>
  <si>
    <t>◌̪</t>
  </si>
  <si>
    <t>◌̺</t>
  </si>
  <si>
    <t>◌̻</t>
  </si>
  <si>
    <t>◌̬</t>
  </si>
  <si>
    <t>◌̹</t>
  </si>
  <si>
    <t>◌̜</t>
  </si>
  <si>
    <t>◌̈</t>
  </si>
  <si>
    <t>◌̤</t>
  </si>
  <si>
    <t>◌̝</t>
  </si>
  <si>
    <t>◌̞</t>
  </si>
  <si>
    <t>◌̘</t>
  </si>
  <si>
    <t>◌̙</t>
  </si>
  <si>
    <t>◌̟</t>
  </si>
  <si>
    <t>◌̽</t>
  </si>
  <si>
    <t>◌̠</t>
  </si>
  <si>
    <t>◌̣</t>
  </si>
  <si>
    <t>◌̇</t>
  </si>
  <si>
    <t>◌˞</t>
  </si>
  <si>
    <t>◌̮</t>
  </si>
  <si>
    <t>◌̏</t>
  </si>
  <si>
    <t>◌̀</t>
  </si>
  <si>
    <t>◌̄</t>
  </si>
  <si>
    <t>◌́</t>
  </si>
  <si>
    <t>◌̋</t>
  </si>
  <si>
    <t>Wedge; haček</t>
  </si>
  <si>
    <t>◌̌</t>
  </si>
  <si>
    <t>◌̂</t>
  </si>
  <si>
    <t>◌᷄</t>
  </si>
  <si>
    <t>◌᷅</t>
  </si>
  <si>
    <t>◌᷈</t>
  </si>
  <si>
    <t>◌᷉</t>
  </si>
  <si>
    <t>ꜛ</t>
  </si>
  <si>
    <t>ꜜ</t>
  </si>
  <si>
    <t>↗</t>
  </si>
  <si>
    <t>↘</t>
  </si>
  <si>
    <t>◌¹</t>
  </si>
  <si>
    <t>◌²</t>
  </si>
  <si>
    <t>◌³</t>
  </si>
  <si>
    <t>◌⁴</t>
  </si>
  <si>
    <t>◌⁵</t>
  </si>
  <si>
    <t>◌⁶</t>
  </si>
  <si>
    <t>◌⁷</t>
  </si>
  <si>
    <t>◌⁸</t>
  </si>
  <si>
    <t>◌⁹</t>
  </si>
  <si>
    <t>p̪</t>
  </si>
  <si>
    <t>b̪</t>
  </si>
  <si>
    <t>p͆</t>
  </si>
  <si>
    <t>b͆</t>
  </si>
  <si>
    <t>p͇</t>
  </si>
  <si>
    <t>b͇</t>
  </si>
  <si>
    <t>t̼</t>
  </si>
  <si>
    <t>d̼</t>
  </si>
  <si>
    <t>t̪͆</t>
  </si>
  <si>
    <t>d̪͆</t>
  </si>
  <si>
    <t>m͋</t>
  </si>
  <si>
    <t>m͆</t>
  </si>
  <si>
    <t>m͇</t>
  </si>
  <si>
    <t>n̼</t>
  </si>
  <si>
    <t>n̪͆</t>
  </si>
  <si>
    <t>n͋</t>
  </si>
  <si>
    <t>ŋ͋</t>
  </si>
  <si>
    <t>l̼</t>
  </si>
  <si>
    <t>r̼</t>
  </si>
  <si>
    <t>l̪͆</t>
  </si>
  <si>
    <t>r̪͆</t>
  </si>
  <si>
    <t>ʪ</t>
  </si>
  <si>
    <t>ʫ</t>
  </si>
  <si>
    <t>f͆</t>
  </si>
  <si>
    <t>v͆</t>
  </si>
  <si>
    <t>f͇</t>
  </si>
  <si>
    <t>v͇</t>
  </si>
  <si>
    <t>θ̼</t>
  </si>
  <si>
    <t>ð̼</t>
  </si>
  <si>
    <t>θ̪͆</t>
  </si>
  <si>
    <t>ð̪͆</t>
  </si>
  <si>
    <t>h̪͆</t>
  </si>
  <si>
    <t>ɦ̪͆</t>
  </si>
  <si>
    <t>ʩ</t>
  </si>
  <si>
    <t>ʬ</t>
  </si>
  <si>
    <t>ʭ</t>
  </si>
  <si>
    <t>◌͍</t>
  </si>
  <si>
    <t>◌͆</t>
  </si>
  <si>
    <t>◌̪͆</t>
  </si>
  <si>
    <t>◌͇</t>
  </si>
  <si>
    <t>◌̼</t>
  </si>
  <si>
    <t>◌͈</t>
  </si>
  <si>
    <t>◌͉</t>
  </si>
  <si>
    <t>◌͎</t>
  </si>
  <si>
    <t>◌͢</t>
  </si>
  <si>
    <t>◌͊</t>
  </si>
  <si>
    <t>◌͋</t>
  </si>
  <si>
    <t>◌͌</t>
  </si>
  <si>
    <t>↓</t>
  </si>
  <si>
    <t>↑</t>
  </si>
  <si>
    <t>◌ˬ</t>
  </si>
  <si>
    <t>ˬ̵◌</t>
  </si>
  <si>
    <t>◌̾</t>
  </si>
  <si>
    <t>Consonant</t>
  </si>
  <si>
    <t>Click</t>
  </si>
  <si>
    <t>Implosive</t>
  </si>
  <si>
    <t>Vowel</t>
  </si>
  <si>
    <t>Suprasegmental</t>
  </si>
  <si>
    <t>.</t>
  </si>
  <si>
    <t>Countour</t>
  </si>
  <si>
    <t>Contour</t>
  </si>
  <si>
    <t>Diacritic</t>
  </si>
  <si>
    <t>Tone</t>
  </si>
  <si>
    <t>ExtIPA</t>
  </si>
  <si>
    <t>Type</t>
  </si>
  <si>
    <t>Voice</t>
  </si>
  <si>
    <t>Place</t>
  </si>
  <si>
    <t>Manner</t>
  </si>
  <si>
    <t>Sonority</t>
  </si>
  <si>
    <t>glottal</t>
  </si>
  <si>
    <t>epiglottal</t>
  </si>
  <si>
    <t>bilabial</t>
  </si>
  <si>
    <t>dental</t>
  </si>
  <si>
    <t>alveolar</t>
  </si>
  <si>
    <t>alveopalatal</t>
  </si>
  <si>
    <t>Back</t>
  </si>
  <si>
    <t>Close</t>
  </si>
  <si>
    <t>Round</t>
  </si>
  <si>
    <t>Rhotic</t>
  </si>
  <si>
    <t>Mid</t>
  </si>
  <si>
    <t>Front</t>
  </si>
  <si>
    <t>Open</t>
  </si>
  <si>
    <t>Central</t>
  </si>
  <si>
    <t>Glide</t>
  </si>
  <si>
    <t>Liquid</t>
  </si>
  <si>
    <t>Flap</t>
  </si>
  <si>
    <t>Lateral</t>
  </si>
  <si>
    <t>stop</t>
  </si>
  <si>
    <t/>
  </si>
  <si>
    <t>retroflex</t>
  </si>
  <si>
    <t>palatal</t>
  </si>
  <si>
    <t>velar</t>
  </si>
  <si>
    <t>uvular</t>
  </si>
  <si>
    <t>nasal</t>
  </si>
  <si>
    <t>labiodental</t>
  </si>
  <si>
    <t>fricative</t>
  </si>
  <si>
    <t>postalveolar</t>
  </si>
  <si>
    <t>pharyngeal</t>
  </si>
  <si>
    <t>phayngeal</t>
  </si>
  <si>
    <t>glide</t>
  </si>
  <si>
    <t>lateral</t>
  </si>
  <si>
    <t>affricate</t>
  </si>
  <si>
    <t>trill</t>
  </si>
  <si>
    <t>labial</t>
  </si>
  <si>
    <t>flap</t>
  </si>
  <si>
    <t>liquid</t>
  </si>
  <si>
    <t>approximant_liquid</t>
  </si>
  <si>
    <t>labial-velar</t>
  </si>
  <si>
    <t>approximant</t>
  </si>
  <si>
    <t>labial-palatal</t>
  </si>
  <si>
    <t>click</t>
  </si>
  <si>
    <t>implosive</t>
  </si>
  <si>
    <t>EML</t>
  </si>
  <si>
    <t>E</t>
  </si>
  <si>
    <t>L</t>
  </si>
  <si>
    <t>M</t>
  </si>
  <si>
    <t>Base-Diacritic</t>
  </si>
  <si>
    <t>base</t>
  </si>
  <si>
    <t>diacritic_right</t>
  </si>
  <si>
    <t>diacritic_left</t>
  </si>
  <si>
    <t>diacritic</t>
  </si>
  <si>
    <t>͡</t>
  </si>
  <si>
    <t>͜</t>
  </si>
  <si>
    <t>ʰ</t>
  </si>
  <si>
    <t>ʰ̵</t>
  </si>
  <si>
    <t>⁼</t>
  </si>
  <si>
    <t>ʷ</t>
  </si>
  <si>
    <t>ˡ</t>
  </si>
  <si>
    <t>ʴ</t>
  </si>
  <si>
    <t>ʲ</t>
  </si>
  <si>
    <t>ˠ</t>
  </si>
  <si>
    <t>ˤ</t>
  </si>
  <si>
    <t>ˀ</t>
  </si>
  <si>
    <t>ʼ</t>
  </si>
  <si>
    <t>ᵐ</t>
  </si>
  <si>
    <t>ᶬ</t>
  </si>
  <si>
    <t>ⁿ</t>
  </si>
  <si>
    <t>ⁿ̵</t>
  </si>
  <si>
    <t>ᶯ</t>
  </si>
  <si>
    <t>ᶮ</t>
  </si>
  <si>
    <t>ᵑ</t>
  </si>
  <si>
    <t>ᶰ</t>
  </si>
  <si>
    <t>ˢ</t>
  </si>
  <si>
    <t>ᶻ</t>
  </si>
  <si>
    <t>ᶴ</t>
  </si>
  <si>
    <t>ᶾ</t>
  </si>
  <si>
    <t>ᵊ</t>
  </si>
  <si>
    <t>ʳ</t>
  </si>
  <si>
    <t>̵</t>
  </si>
  <si>
    <t>̩</t>
  </si>
  <si>
    <t>̚</t>
  </si>
  <si>
    <t>̃</t>
  </si>
  <si>
    <t>̰</t>
  </si>
  <si>
    <t>̥</t>
  </si>
  <si>
    <t>̯</t>
  </si>
  <si>
    <t>̆</t>
  </si>
  <si>
    <t>̪</t>
  </si>
  <si>
    <t>̺</t>
  </si>
  <si>
    <t>̻</t>
  </si>
  <si>
    <t>̬</t>
  </si>
  <si>
    <t>̹</t>
  </si>
  <si>
    <t>̜</t>
  </si>
  <si>
    <t>̈</t>
  </si>
  <si>
    <t>̤</t>
  </si>
  <si>
    <t>̝</t>
  </si>
  <si>
    <t>̞</t>
  </si>
  <si>
    <t>̘</t>
  </si>
  <si>
    <t>̙</t>
  </si>
  <si>
    <t>̟</t>
  </si>
  <si>
    <t>̽</t>
  </si>
  <si>
    <t>̠</t>
  </si>
  <si>
    <t>̣</t>
  </si>
  <si>
    <t>̇</t>
  </si>
  <si>
    <t>˞</t>
  </si>
  <si>
    <t>̮</t>
  </si>
  <si>
    <t>̏</t>
  </si>
  <si>
    <t>̀</t>
  </si>
  <si>
    <t>̄</t>
  </si>
  <si>
    <t>́</t>
  </si>
  <si>
    <t>̋</t>
  </si>
  <si>
    <t>̌</t>
  </si>
  <si>
    <t>̂</t>
  </si>
  <si>
    <t>᷄</t>
  </si>
  <si>
    <t>᷅</t>
  </si>
  <si>
    <t>᷈</t>
  </si>
  <si>
    <t>᷉</t>
  </si>
  <si>
    <t>¹</t>
  </si>
  <si>
    <t>²</t>
  </si>
  <si>
    <t>³</t>
  </si>
  <si>
    <t>⁴</t>
  </si>
  <si>
    <t>⁵</t>
  </si>
  <si>
    <t>⁶</t>
  </si>
  <si>
    <t>⁷</t>
  </si>
  <si>
    <t>⁸</t>
  </si>
  <si>
    <t>⁹</t>
  </si>
  <si>
    <t>͍</t>
  </si>
  <si>
    <t>͆</t>
  </si>
  <si>
    <t>̪͆</t>
  </si>
  <si>
    <t>͇</t>
  </si>
  <si>
    <t>̼</t>
  </si>
  <si>
    <t>͈</t>
  </si>
  <si>
    <t>͉</t>
  </si>
  <si>
    <t>͎</t>
  </si>
  <si>
    <t>͢</t>
  </si>
  <si>
    <t>͊</t>
  </si>
  <si>
    <t>͋</t>
  </si>
  <si>
    <t>͌</t>
  </si>
  <si>
    <t>ˬ</t>
  </si>
  <si>
    <t>ˬ̵</t>
  </si>
  <si>
    <t>̾</t>
  </si>
  <si>
    <t>Symbol-Display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</si>
</sst>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1"/>
    <xf numFmtId="0" fontId="2" fillId="0" borderId="0" xfId="1" applyFill="1"/>
    <xf numFmtId="0" fontId="3" fillId="0" borderId="0" xfId="1" applyFont="1" applyFill="1" applyAlignment="1">
      <alignment horizontal="left" vertical="center"/>
    </xf>
  </cellXfs>
  <cellStyles count="2">
    <cellStyle name="Normal" xfId="0" builtinId="0"/>
    <cellStyle name="Normal 2" xfId="1" xr:uid="{8638FC66-2C11-4028-B9C5-7F589876A176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3D4FE-F354-4BBC-9B2E-170C38C7EE75}" name="Table1" displayName="Table1" ref="A1:X258" totalsRowShown="0" headerRowDxfId="7">
  <autoFilter ref="A1:X258" xr:uid="{0D396139-44B1-4D2F-ADA9-6F97CAD5E738}"/>
  <tableColumns count="24">
    <tableColumn id="1" xr3:uid="{634E2ACC-F650-4879-A647-12FAF9317E57}" name="Description" dataDxfId="6"/>
    <tableColumn id="2" xr3:uid="{BAEC8A6F-34A0-4732-BD0F-2F751D247EC8}" name="Name" dataDxfId="5"/>
    <tableColumn id="24" xr3:uid="{61AF39C8-8C24-41D6-8667-E5DFE73EBB20}" name="Symbol" dataDxfId="0"/>
    <tableColumn id="3" xr3:uid="{0372B447-53E0-41B2-A93B-5807AB04D692}" name="Symbol-Display" dataDxfId="4"/>
    <tableColumn id="4" xr3:uid="{FFFB61BC-8966-4097-95BC-8A6483449E3B}" name="Unicode" dataDxfId="3"/>
    <tableColumn id="5" xr3:uid="{07635DB3-DC33-4FF8-9450-655379E23FE5}" name="Type" dataDxfId="2"/>
    <tableColumn id="23" xr3:uid="{009AB40E-CD24-4EB5-9EE7-7E4141EF1BE3}" name="Base-Diacritic" dataDxfId="1"/>
    <tableColumn id="6" xr3:uid="{8BDE5278-4E71-4B7E-9554-8C504D4BF9FF}" name="Voice">
      <calculatedColumnFormula>IF(ISNUMBER(SEARCH("Voiceless",A2)),0, IF(ISNUMBER(SEARCH("Voiced",A2)),1,""))</calculatedColumnFormula>
    </tableColumn>
    <tableColumn id="7" xr3:uid="{D956A96E-EE71-4CE8-A8F4-C29D3784709F}" name="Place"/>
    <tableColumn id="8" xr3:uid="{3206B546-9A9D-40A6-9D4E-7E05F97FAFA3}" name="Manner"/>
    <tableColumn id="9" xr3:uid="{C3401764-976F-4941-88DC-8DA4F82AA227}" name="Flap"/>
    <tableColumn id="10" xr3:uid="{943F905F-4740-4193-B5BF-31A01316782A}" name="Lateral"/>
    <tableColumn id="11" xr3:uid="{C9D5E740-1475-4B70-963D-14FCDFD0E59B}" name="Liquid"/>
    <tableColumn id="12" xr3:uid="{0F21DCCC-928F-4E04-B098-341FB2516A0F}" name="Glide"/>
    <tableColumn id="13" xr3:uid="{E72B76F2-5049-429A-9BAE-8CB46CCF5CEC}" name="Sonority"/>
    <tableColumn id="14" xr3:uid="{01BE17F8-1503-4A60-A507-867BD644D12F}" name="Back"/>
    <tableColumn id="15" xr3:uid="{88D53483-566A-488B-A022-F80B770EC0D0}" name="Central"/>
    <tableColumn id="16" xr3:uid="{88CF361E-2192-439D-897B-5F5592203AD4}" name="Front"/>
    <tableColumn id="17" xr3:uid="{C0AC9EE6-F6C5-4422-9061-8D37FD558242}" name="Close"/>
    <tableColumn id="18" xr3:uid="{6F9C9120-6F1A-444F-8901-613ACC9AB1D8}" name="Mid"/>
    <tableColumn id="19" xr3:uid="{F79B9414-E140-41B5-8851-1E058F38AC7E}" name="Open"/>
    <tableColumn id="20" xr3:uid="{E10FA86E-2EA2-4E17-9921-4B2FCFC77E83}" name="Round"/>
    <tableColumn id="21" xr3:uid="{9B2151E1-F7B7-41AE-8F90-A73E69FB82A4}" name="Rhotic"/>
    <tableColumn id="22" xr3:uid="{223ACB3A-79DF-4899-8028-02B9178FBC8B}" name="EM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7DC84E-F5AD-4D23-AC28-FA508822D23B}" name="Table2" displayName="Table2" ref="A1:V258" totalsRowShown="0" headerRowCellStyle="Normal 2" dataCellStyle="Normal 2">
  <autoFilter ref="A1:V258" xr:uid="{F968BF68-2EB4-46F9-BD6A-0103D8BF65DD}"/>
  <tableColumns count="22">
    <tableColumn id="1" xr3:uid="{4FAAA63E-7FE6-49B2-AEB8-02F77257DBBC}" name="Description" dataCellStyle="Normal 2"/>
    <tableColumn id="2" xr3:uid="{F35C9EA1-7E86-449C-994C-B6B7614CB67A}" name="Name" dataCellStyle="Normal 2"/>
    <tableColumn id="3" xr3:uid="{8712BB71-FCC1-486B-B7C8-EB16D3A9FABD}" name="Symbol" dataCellStyle="Normal 2"/>
    <tableColumn id="4" xr3:uid="{D9D14BC7-8B1B-4AD0-9B04-77D537FEB56B}" name="Unicode" dataCellStyle="Normal 2"/>
    <tableColumn id="5" xr3:uid="{38FD3A4D-1D8E-4E4D-8613-5F936D508645}" name="Type" dataCellStyle="Normal 2"/>
    <tableColumn id="6" xr3:uid="{275AEAC8-2B7C-41CC-9CDC-FB87972A6964}" name="Voice" dataCellStyle="Normal 2"/>
    <tableColumn id="7" xr3:uid="{ABFD2D37-3D1D-47D9-A466-8A59810FA360}" name="Place" dataCellStyle="Normal 2"/>
    <tableColumn id="8" xr3:uid="{13BD2528-2F80-4506-B277-E126A481121B}" name="Manner" dataCellStyle="Normal 2"/>
    <tableColumn id="9" xr3:uid="{DE7A5708-D041-4D7E-A982-1A8AC1A36513}" name="Flap" dataCellStyle="Normal 2"/>
    <tableColumn id="10" xr3:uid="{F35B9961-CF39-488E-8319-5A61FCF1909D}" name="Lateral" dataCellStyle="Normal 2"/>
    <tableColumn id="11" xr3:uid="{8F1EDB72-059E-4F27-9CD1-D178B16CE59D}" name="Liquid" dataCellStyle="Normal 2"/>
    <tableColumn id="12" xr3:uid="{7DB0E714-8E4F-4FD6-B822-E1CAA2C5B6D3}" name="Glide" dataCellStyle="Normal 2"/>
    <tableColumn id="13" xr3:uid="{9FE7DB2F-28D8-4FFC-8C35-FACEF3B9C049}" name="Sonority" dataCellStyle="Normal 2"/>
    <tableColumn id="14" xr3:uid="{D1E34963-6852-4C76-B154-B6BE66FAA24D}" name="Back" dataCellStyle="Normal 2"/>
    <tableColumn id="15" xr3:uid="{14ABECF3-CFC2-4221-947F-2799D5F92C15}" name="Central" dataCellStyle="Normal 2"/>
    <tableColumn id="16" xr3:uid="{B2CB72CF-166F-4F44-BC8E-B933F097D1CA}" name="Front" dataCellStyle="Normal 2"/>
    <tableColumn id="17" xr3:uid="{F66C63FC-359F-456E-8FFE-653CA7871646}" name="Close" dataCellStyle="Normal 2"/>
    <tableColumn id="18" xr3:uid="{7056BEB5-3EB9-4F75-9E52-6856A3E47112}" name="Mid" dataCellStyle="Normal 2"/>
    <tableColumn id="19" xr3:uid="{8745BF64-6F62-4DDB-9433-8790C59A741D}" name="Open" dataCellStyle="Normal 2"/>
    <tableColumn id="20" xr3:uid="{10BB75F7-FC87-463F-BEDD-2C003C7BDA73}" name="Round" dataCellStyle="Normal 2"/>
    <tableColumn id="21" xr3:uid="{A2E71A2B-BCC9-4D09-A0C8-D4ECECA54C91}" name="Rhotic" dataCellStyle="Normal 2"/>
    <tableColumn id="22" xr3:uid="{7789B0E3-8404-4F6E-AE38-25E70B7EF4DD}" name="EML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6C57-35B6-46C5-A285-FD5E9EF1060B}">
  <dimension ref="A1:X258"/>
  <sheetViews>
    <sheetView tabSelected="1" zoomScale="130" zoomScaleNormal="130" workbookViewId="0">
      <pane ySplit="1" topLeftCell="A92" activePane="bottomLeft" state="frozen"/>
      <selection pane="bottomLeft" activeCell="D124" sqref="D124"/>
    </sheetView>
  </sheetViews>
  <sheetFormatPr defaultRowHeight="14.5" x14ac:dyDescent="0.35"/>
  <cols>
    <col min="1" max="1" width="46.54296875" bestFit="1" customWidth="1"/>
    <col min="2" max="2" width="40.81640625" bestFit="1" customWidth="1"/>
    <col min="3" max="3" width="10" customWidth="1"/>
    <col min="4" max="4" width="20.81640625" bestFit="1" customWidth="1"/>
    <col min="5" max="5" width="14.54296875" bestFit="1" customWidth="1"/>
    <col min="6" max="6" width="14.54296875" customWidth="1"/>
    <col min="8" max="8" width="19.54296875" bestFit="1" customWidth="1"/>
    <col min="9" max="9" width="12.26953125" bestFit="1" customWidth="1"/>
    <col min="10" max="13" width="12.26953125" customWidth="1"/>
    <col min="14" max="14" width="10.7265625" customWidth="1"/>
    <col min="16" max="16" width="9.72656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1167</v>
      </c>
      <c r="E1" s="1" t="s">
        <v>3</v>
      </c>
      <c r="F1" s="1" t="s">
        <v>1021</v>
      </c>
      <c r="G1" s="1" t="s">
        <v>1073</v>
      </c>
      <c r="H1" s="1" t="s">
        <v>1022</v>
      </c>
      <c r="I1" s="1" t="s">
        <v>1023</v>
      </c>
      <c r="J1" s="1" t="s">
        <v>1024</v>
      </c>
      <c r="K1" s="1" t="s">
        <v>1042</v>
      </c>
      <c r="L1" s="1" t="s">
        <v>1043</v>
      </c>
      <c r="M1" s="1" t="s">
        <v>1041</v>
      </c>
      <c r="N1" s="1" t="s">
        <v>1040</v>
      </c>
      <c r="O1" s="1" t="s">
        <v>1025</v>
      </c>
      <c r="P1" s="1" t="s">
        <v>1032</v>
      </c>
      <c r="Q1" s="1" t="s">
        <v>1039</v>
      </c>
      <c r="R1" s="1" t="s">
        <v>1037</v>
      </c>
      <c r="S1" s="1" t="s">
        <v>1033</v>
      </c>
      <c r="T1" s="1" t="s">
        <v>1036</v>
      </c>
      <c r="U1" s="1" t="s">
        <v>1038</v>
      </c>
      <c r="V1" s="1" t="s">
        <v>1034</v>
      </c>
      <c r="W1" s="1" t="s">
        <v>1035</v>
      </c>
      <c r="X1" s="4" t="s">
        <v>1069</v>
      </c>
    </row>
    <row r="2" spans="1:24" x14ac:dyDescent="0.35">
      <c r="A2" s="1" t="s">
        <v>4</v>
      </c>
      <c r="B2" s="1" t="s">
        <v>5</v>
      </c>
      <c r="C2" s="1" t="s">
        <v>6</v>
      </c>
      <c r="D2" s="1" t="s">
        <v>6</v>
      </c>
      <c r="E2" s="1" t="s">
        <v>7</v>
      </c>
      <c r="F2" s="1" t="s">
        <v>1010</v>
      </c>
      <c r="G2" s="1" t="s">
        <v>1074</v>
      </c>
      <c r="H2">
        <f>IF(ISNUMBER(SEARCH("Voiceless",A2)),0, IF(ISNUMBER(SEARCH("Voiced",A2)),1,""))</f>
        <v>0</v>
      </c>
      <c r="I2" t="str">
        <f>TRIM(LEFT(RIGHT(" "&amp;SUBSTITUTE(TRIM(A2)," ",REPT(" ",60)),120),60))</f>
        <v>bilabial</v>
      </c>
      <c r="J2" t="str">
        <f>TRIM(RIGHT(SUBSTITUTE(A2," ",REPT(" ",100)),100))</f>
        <v>stop</v>
      </c>
      <c r="K2" t="str">
        <f>IF(ISNUMBER(SEARCH("Flap",A2)),1,"")</f>
        <v/>
      </c>
      <c r="L2" t="str">
        <f>IF(ISNUMBER(SEARCH("Lateral",A2)),1,"")</f>
        <v/>
      </c>
      <c r="O2">
        <f>IF(H2=0, IF(J2="stop", 1, IF(J2="fricative", 3, IF(J2="affricate", 2))), IF(H2=1, IF(J2="stop", 2, IF(J2="fricative", 4, IF(J2="affricate", 3, IF(J2="nasal", 5, IF(M2=1, 6, IF(N2=1, 7, IF(F2="Vowel", 8)))))))))</f>
        <v>1</v>
      </c>
      <c r="X2" s="3" t="s">
        <v>1070</v>
      </c>
    </row>
    <row r="3" spans="1:24" x14ac:dyDescent="0.35">
      <c r="A3" s="1" t="s">
        <v>8</v>
      </c>
      <c r="B3" s="1" t="s">
        <v>9</v>
      </c>
      <c r="C3" s="1" t="s">
        <v>10</v>
      </c>
      <c r="D3" s="1" t="s">
        <v>10</v>
      </c>
      <c r="E3" s="1" t="s">
        <v>11</v>
      </c>
      <c r="F3" s="1" t="s">
        <v>1010</v>
      </c>
      <c r="G3" s="1" t="s">
        <v>1074</v>
      </c>
      <c r="H3">
        <f>IF(ISNUMBER(SEARCH("Voiceless",A3)),0, IF(ISNUMBER(SEARCH("Voiced",A3)),1,""))</f>
        <v>1</v>
      </c>
      <c r="I3" t="str">
        <f>TRIM(LEFT(RIGHT(" "&amp;SUBSTITUTE(TRIM(A3)," ",REPT(" ",60)),120),60))</f>
        <v>bilabial</v>
      </c>
      <c r="J3" t="str">
        <f>TRIM(RIGHT(SUBSTITUTE(A3," ",REPT(" ",100)),100))</f>
        <v>stop</v>
      </c>
      <c r="K3" t="str">
        <f>IF(ISNUMBER(SEARCH("Flap",A3)),1,"")</f>
        <v/>
      </c>
      <c r="L3" t="str">
        <f>IF(ISNUMBER(SEARCH("Lateral",A3)),1,"")</f>
        <v/>
      </c>
      <c r="O3">
        <f t="shared" ref="O3:O66" si="0">IF(H3=0, IF(J3="stop", 1, IF(J3="fricative", 3, IF(J3="affricate", 2))), IF(H3=1, IF(J3="stop", 2, IF(J3="fricative", 4, IF(J3="affricate", 3, IF(J3="nasal", 5, IF(M3=1, 6, IF(N3=1, 7, IF(F3="Vowel", 8)))))))))</f>
        <v>2</v>
      </c>
      <c r="X3" s="3" t="s">
        <v>1070</v>
      </c>
    </row>
    <row r="4" spans="1:24" x14ac:dyDescent="0.35">
      <c r="A4" s="1" t="s">
        <v>12</v>
      </c>
      <c r="B4" s="1" t="s">
        <v>13</v>
      </c>
      <c r="C4" s="1" t="s">
        <v>14</v>
      </c>
      <c r="D4" s="1" t="s">
        <v>14</v>
      </c>
      <c r="E4" s="1" t="s">
        <v>15</v>
      </c>
      <c r="F4" s="1" t="s">
        <v>1010</v>
      </c>
      <c r="G4" s="1" t="s">
        <v>1074</v>
      </c>
      <c r="H4">
        <f>IF(ISNUMBER(SEARCH("Voiceless",A4)),0, IF(ISNUMBER(SEARCH("Voiced",A4)),1,""))</f>
        <v>0</v>
      </c>
      <c r="I4" t="str">
        <f>TRIM(LEFT(RIGHT(" "&amp;SUBSTITUTE(TRIM(A4)," ",REPT(" ",60)),120),60))</f>
        <v>alveolar</v>
      </c>
      <c r="J4" t="str">
        <f>TRIM(RIGHT(SUBSTITUTE(A4," ",REPT(" ",100)),100))</f>
        <v>stop</v>
      </c>
      <c r="K4" t="str">
        <f>IF(ISNUMBER(SEARCH("Flap",A4)),1,"")</f>
        <v/>
      </c>
      <c r="L4" t="str">
        <f>IF(ISNUMBER(SEARCH("Lateral",A4)),1,"")</f>
        <v/>
      </c>
      <c r="O4">
        <f t="shared" si="0"/>
        <v>1</v>
      </c>
      <c r="X4" s="3" t="s">
        <v>1072</v>
      </c>
    </row>
    <row r="5" spans="1:24" x14ac:dyDescent="0.35">
      <c r="A5" s="1" t="s">
        <v>16</v>
      </c>
      <c r="B5" s="1" t="s">
        <v>17</v>
      </c>
      <c r="C5" s="1" t="s">
        <v>18</v>
      </c>
      <c r="D5" s="1" t="s">
        <v>18</v>
      </c>
      <c r="E5" s="1" t="s">
        <v>19</v>
      </c>
      <c r="F5" s="1" t="s">
        <v>1010</v>
      </c>
      <c r="G5" s="1" t="s">
        <v>1074</v>
      </c>
      <c r="H5">
        <f>IF(ISNUMBER(SEARCH("Voiceless",A5)),0, IF(ISNUMBER(SEARCH("Voiced",A5)),1,""))</f>
        <v>1</v>
      </c>
      <c r="I5" t="str">
        <f>TRIM(LEFT(RIGHT(" "&amp;SUBSTITUTE(TRIM(A5)," ",REPT(" ",60)),120),60))</f>
        <v>alveolar</v>
      </c>
      <c r="J5" t="str">
        <f>TRIM(RIGHT(SUBSTITUTE(A5," ",REPT(" ",100)),100))</f>
        <v>stop</v>
      </c>
      <c r="K5" t="str">
        <f>IF(ISNUMBER(SEARCH("Flap",A5)),1,"")</f>
        <v/>
      </c>
      <c r="L5" t="str">
        <f>IF(ISNUMBER(SEARCH("Lateral",A5)),1,"")</f>
        <v/>
      </c>
      <c r="O5">
        <f t="shared" si="0"/>
        <v>2</v>
      </c>
      <c r="X5" s="3" t="s">
        <v>1070</v>
      </c>
    </row>
    <row r="6" spans="1:24" x14ac:dyDescent="0.35">
      <c r="A6" s="1" t="s">
        <v>20</v>
      </c>
      <c r="B6" s="1" t="s">
        <v>21</v>
      </c>
      <c r="C6" s="1" t="s">
        <v>782</v>
      </c>
      <c r="D6" s="1" t="s">
        <v>782</v>
      </c>
      <c r="E6" s="1" t="s">
        <v>22</v>
      </c>
      <c r="F6" s="1" t="s">
        <v>1010</v>
      </c>
      <c r="G6" s="1" t="s">
        <v>1074</v>
      </c>
      <c r="H6">
        <f>IF(ISNUMBER(SEARCH("Voiceless",A6)),0, IF(ISNUMBER(SEARCH("Voiced",A6)),1,""))</f>
        <v>0</v>
      </c>
      <c r="I6" t="str">
        <f>TRIM(LEFT(RIGHT(" "&amp;SUBSTITUTE(TRIM(A6)," ",REPT(" ",60)),120),60))</f>
        <v>retroflex</v>
      </c>
      <c r="J6" t="str">
        <f>TRIM(RIGHT(SUBSTITUTE(A6," ",REPT(" ",100)),100))</f>
        <v>stop</v>
      </c>
      <c r="K6" t="str">
        <f>IF(ISNUMBER(SEARCH("Flap",A6)),1,"")</f>
        <v/>
      </c>
      <c r="L6" t="str">
        <f>IF(ISNUMBER(SEARCH("Lateral",A6)),1,"")</f>
        <v/>
      </c>
      <c r="O6">
        <f t="shared" si="0"/>
        <v>1</v>
      </c>
      <c r="X6" s="3"/>
    </row>
    <row r="7" spans="1:24" x14ac:dyDescent="0.35">
      <c r="A7" s="1" t="s">
        <v>23</v>
      </c>
      <c r="B7" s="1" t="s">
        <v>24</v>
      </c>
      <c r="C7" s="1" t="s">
        <v>783</v>
      </c>
      <c r="D7" s="1" t="s">
        <v>783</v>
      </c>
      <c r="E7" s="1" t="s">
        <v>25</v>
      </c>
      <c r="F7" s="1" t="s">
        <v>1010</v>
      </c>
      <c r="G7" s="1" t="s">
        <v>1074</v>
      </c>
      <c r="H7">
        <f>IF(ISNUMBER(SEARCH("Voiceless",A7)),0, IF(ISNUMBER(SEARCH("Voiced",A7)),1,""))</f>
        <v>1</v>
      </c>
      <c r="I7" t="str">
        <f>TRIM(LEFT(RIGHT(" "&amp;SUBSTITUTE(TRIM(A7)," ",REPT(" ",60)),120),60))</f>
        <v>retroflex</v>
      </c>
      <c r="J7" t="str">
        <f>TRIM(RIGHT(SUBSTITUTE(A7," ",REPT(" ",100)),100))</f>
        <v>stop</v>
      </c>
      <c r="K7" t="str">
        <f>IF(ISNUMBER(SEARCH("Flap",A7)),1,"")</f>
        <v/>
      </c>
      <c r="L7" t="str">
        <f>IF(ISNUMBER(SEARCH("Lateral",A7)),1,"")</f>
        <v/>
      </c>
      <c r="O7">
        <f t="shared" si="0"/>
        <v>2</v>
      </c>
      <c r="X7" s="3"/>
    </row>
    <row r="8" spans="1:24" x14ac:dyDescent="0.35">
      <c r="A8" s="1" t="s">
        <v>26</v>
      </c>
      <c r="B8" s="1" t="s">
        <v>27</v>
      </c>
      <c r="C8" s="1" t="s">
        <v>28</v>
      </c>
      <c r="D8" s="1" t="s">
        <v>28</v>
      </c>
      <c r="E8" s="1" t="s">
        <v>29</v>
      </c>
      <c r="F8" s="1" t="s">
        <v>1010</v>
      </c>
      <c r="G8" s="1" t="s">
        <v>1074</v>
      </c>
      <c r="H8">
        <f>IF(ISNUMBER(SEARCH("Voiceless",A8)),0, IF(ISNUMBER(SEARCH("Voiced",A8)),1,""))</f>
        <v>0</v>
      </c>
      <c r="I8" t="str">
        <f>TRIM(LEFT(RIGHT(" "&amp;SUBSTITUTE(TRIM(A8)," ",REPT(" ",60)),120),60))</f>
        <v>palatal</v>
      </c>
      <c r="J8" t="str">
        <f>TRIM(RIGHT(SUBSTITUTE(A8," ",REPT(" ",100)),100))</f>
        <v>stop</v>
      </c>
      <c r="K8" t="str">
        <f>IF(ISNUMBER(SEARCH("Flap",A8)),1,"")</f>
        <v/>
      </c>
      <c r="L8" t="str">
        <f>IF(ISNUMBER(SEARCH("Lateral",A8)),1,"")</f>
        <v/>
      </c>
      <c r="O8">
        <f t="shared" si="0"/>
        <v>1</v>
      </c>
      <c r="X8" s="3"/>
    </row>
    <row r="9" spans="1:24" x14ac:dyDescent="0.35">
      <c r="A9" s="1" t="s">
        <v>30</v>
      </c>
      <c r="B9" s="1" t="s">
        <v>31</v>
      </c>
      <c r="C9" s="1" t="s">
        <v>784</v>
      </c>
      <c r="D9" s="1" t="s">
        <v>784</v>
      </c>
      <c r="E9" s="1" t="s">
        <v>32</v>
      </c>
      <c r="F9" s="1" t="s">
        <v>1010</v>
      </c>
      <c r="G9" s="1" t="s">
        <v>1074</v>
      </c>
      <c r="H9">
        <f>IF(ISNUMBER(SEARCH("Voiceless",A9)),0, IF(ISNUMBER(SEARCH("Voiced",A9)),1,""))</f>
        <v>1</v>
      </c>
      <c r="I9" t="str">
        <f>TRIM(LEFT(RIGHT(" "&amp;SUBSTITUTE(TRIM(A9)," ",REPT(" ",60)),120),60))</f>
        <v>palatal</v>
      </c>
      <c r="J9" t="str">
        <f>TRIM(RIGHT(SUBSTITUTE(A9," ",REPT(" ",100)),100))</f>
        <v>stop</v>
      </c>
      <c r="K9" t="str">
        <f>IF(ISNUMBER(SEARCH("Flap",A9)),1,"")</f>
        <v/>
      </c>
      <c r="L9" t="str">
        <f>IF(ISNUMBER(SEARCH("Lateral",A9)),1,"")</f>
        <v/>
      </c>
      <c r="O9">
        <f t="shared" si="0"/>
        <v>2</v>
      </c>
      <c r="X9" s="3"/>
    </row>
    <row r="10" spans="1:24" x14ac:dyDescent="0.35">
      <c r="A10" s="1" t="s">
        <v>33</v>
      </c>
      <c r="B10" s="1" t="s">
        <v>34</v>
      </c>
      <c r="C10" s="1" t="s">
        <v>35</v>
      </c>
      <c r="D10" s="1" t="s">
        <v>35</v>
      </c>
      <c r="E10" s="1" t="s">
        <v>36</v>
      </c>
      <c r="F10" s="1" t="s">
        <v>1010</v>
      </c>
      <c r="G10" s="1" t="s">
        <v>1074</v>
      </c>
      <c r="H10">
        <f>IF(ISNUMBER(SEARCH("Voiceless",A10)),0, IF(ISNUMBER(SEARCH("Voiced",A10)),1,""))</f>
        <v>0</v>
      </c>
      <c r="I10" t="str">
        <f>TRIM(LEFT(RIGHT(" "&amp;SUBSTITUTE(TRIM(A10)," ",REPT(" ",60)),120),60))</f>
        <v>velar</v>
      </c>
      <c r="J10" t="str">
        <f>TRIM(RIGHT(SUBSTITUTE(A10," ",REPT(" ",100)),100))</f>
        <v>stop</v>
      </c>
      <c r="K10" t="str">
        <f>IF(ISNUMBER(SEARCH("Flap",A10)),1,"")</f>
        <v/>
      </c>
      <c r="L10" t="str">
        <f>IF(ISNUMBER(SEARCH("Lateral",A10)),1,"")</f>
        <v/>
      </c>
      <c r="O10">
        <f t="shared" si="0"/>
        <v>1</v>
      </c>
      <c r="X10" s="3" t="s">
        <v>1072</v>
      </c>
    </row>
    <row r="11" spans="1:24" x14ac:dyDescent="0.35">
      <c r="A11" s="1" t="s">
        <v>37</v>
      </c>
      <c r="B11" s="1" t="s">
        <v>38</v>
      </c>
      <c r="C11" s="1" t="s">
        <v>785</v>
      </c>
      <c r="D11" s="1" t="s">
        <v>785</v>
      </c>
      <c r="E11" s="1" t="s">
        <v>39</v>
      </c>
      <c r="F11" s="1" t="s">
        <v>1010</v>
      </c>
      <c r="G11" s="1" t="s">
        <v>1074</v>
      </c>
      <c r="H11">
        <f>IF(ISNUMBER(SEARCH("Voiceless",A11)),0, IF(ISNUMBER(SEARCH("Voiced",A11)),1,""))</f>
        <v>1</v>
      </c>
      <c r="I11" t="str">
        <f>TRIM(LEFT(RIGHT(" "&amp;SUBSTITUTE(TRIM(A11)," ",REPT(" ",60)),120),60))</f>
        <v>velar</v>
      </c>
      <c r="J11" t="str">
        <f>TRIM(RIGHT(SUBSTITUTE(A11," ",REPT(" ",100)),100))</f>
        <v>stop</v>
      </c>
      <c r="K11" t="str">
        <f>IF(ISNUMBER(SEARCH("Flap",A11)),1,"")</f>
        <v/>
      </c>
      <c r="L11" t="str">
        <f>IF(ISNUMBER(SEARCH("Lateral",A11)),1,"")</f>
        <v/>
      </c>
      <c r="O11">
        <f t="shared" si="0"/>
        <v>2</v>
      </c>
      <c r="X11" s="3" t="s">
        <v>1072</v>
      </c>
    </row>
    <row r="12" spans="1:24" x14ac:dyDescent="0.35">
      <c r="A12" s="1" t="s">
        <v>40</v>
      </c>
      <c r="B12" s="1" t="s">
        <v>41</v>
      </c>
      <c r="C12" s="1" t="s">
        <v>42</v>
      </c>
      <c r="D12" s="1" t="s">
        <v>42</v>
      </c>
      <c r="E12" s="1" t="s">
        <v>43</v>
      </c>
      <c r="F12" s="1" t="s">
        <v>1010</v>
      </c>
      <c r="G12" s="1" t="s">
        <v>1074</v>
      </c>
      <c r="H12">
        <f>IF(ISNUMBER(SEARCH("Voiceless",A12)),0, IF(ISNUMBER(SEARCH("Voiced",A12)),1,""))</f>
        <v>0</v>
      </c>
      <c r="I12" t="str">
        <f>TRIM(LEFT(RIGHT(" "&amp;SUBSTITUTE(TRIM(A12)," ",REPT(" ",60)),120),60))</f>
        <v>uvular</v>
      </c>
      <c r="J12" t="str">
        <f>TRIM(RIGHT(SUBSTITUTE(A12," ",REPT(" ",100)),100))</f>
        <v>stop</v>
      </c>
      <c r="K12" t="str">
        <f>IF(ISNUMBER(SEARCH("Flap",A12)),1,"")</f>
        <v/>
      </c>
      <c r="L12" t="str">
        <f>IF(ISNUMBER(SEARCH("Lateral",A12)),1,"")</f>
        <v/>
      </c>
      <c r="O12">
        <f t="shared" si="0"/>
        <v>1</v>
      </c>
      <c r="X12" s="3"/>
    </row>
    <row r="13" spans="1:24" x14ac:dyDescent="0.35">
      <c r="A13" s="1" t="s">
        <v>44</v>
      </c>
      <c r="B13" s="1" t="s">
        <v>45</v>
      </c>
      <c r="C13" s="1" t="s">
        <v>786</v>
      </c>
      <c r="D13" s="1" t="s">
        <v>786</v>
      </c>
      <c r="E13" s="1" t="s">
        <v>46</v>
      </c>
      <c r="F13" s="1" t="s">
        <v>1010</v>
      </c>
      <c r="G13" s="1" t="s">
        <v>1074</v>
      </c>
      <c r="H13">
        <f>IF(ISNUMBER(SEARCH("Voiceless",A13)),0, IF(ISNUMBER(SEARCH("Voiced",A13)),1,""))</f>
        <v>1</v>
      </c>
      <c r="I13" t="str">
        <f>TRIM(LEFT(RIGHT(" "&amp;SUBSTITUTE(TRIM(A13)," ",REPT(" ",60)),120),60))</f>
        <v>uvular</v>
      </c>
      <c r="J13" t="str">
        <f>TRIM(RIGHT(SUBSTITUTE(A13," ",REPT(" ",100)),100))</f>
        <v>stop</v>
      </c>
      <c r="K13" t="str">
        <f>IF(ISNUMBER(SEARCH("Flap",A13)),1,"")</f>
        <v/>
      </c>
      <c r="L13" t="str">
        <f>IF(ISNUMBER(SEARCH("Lateral",A13)),1,"")</f>
        <v/>
      </c>
      <c r="O13">
        <f t="shared" si="0"/>
        <v>2</v>
      </c>
      <c r="X13" s="3"/>
    </row>
    <row r="14" spans="1:24" x14ac:dyDescent="0.35">
      <c r="A14" s="1" t="s">
        <v>47</v>
      </c>
      <c r="B14" s="1" t="s">
        <v>47</v>
      </c>
      <c r="C14" s="1" t="s">
        <v>787</v>
      </c>
      <c r="D14" s="1" t="s">
        <v>787</v>
      </c>
      <c r="E14" s="1" t="s">
        <v>48</v>
      </c>
      <c r="F14" s="1" t="s">
        <v>1010</v>
      </c>
      <c r="G14" s="1" t="s">
        <v>1074</v>
      </c>
      <c r="H14">
        <v>0</v>
      </c>
      <c r="I14" t="s">
        <v>1026</v>
      </c>
      <c r="J14" t="str">
        <f>TRIM(RIGHT(SUBSTITUTE(A14," ",REPT(" ",100)),100))</f>
        <v>stop</v>
      </c>
      <c r="K14" t="str">
        <f>IF(ISNUMBER(SEARCH("Flap",A14)),1,"")</f>
        <v/>
      </c>
      <c r="L14" t="str">
        <f>IF(ISNUMBER(SEARCH("Lateral",A14)),1,"")</f>
        <v/>
      </c>
      <c r="O14">
        <f t="shared" si="0"/>
        <v>1</v>
      </c>
      <c r="X14" s="3"/>
    </row>
    <row r="15" spans="1:24" x14ac:dyDescent="0.35">
      <c r="A15" s="1" t="s">
        <v>49</v>
      </c>
      <c r="B15" s="1" t="s">
        <v>50</v>
      </c>
      <c r="C15" s="1" t="s">
        <v>788</v>
      </c>
      <c r="D15" s="1" t="s">
        <v>788</v>
      </c>
      <c r="E15" s="1" t="s">
        <v>51</v>
      </c>
      <c r="F15" s="1" t="s">
        <v>1010</v>
      </c>
      <c r="G15" s="1" t="s">
        <v>1074</v>
      </c>
      <c r="H15">
        <v>0</v>
      </c>
      <c r="I15" t="s">
        <v>1027</v>
      </c>
      <c r="J15" t="str">
        <f>TRIM(RIGHT(SUBSTITUTE(A15," ",REPT(" ",100)),100))</f>
        <v>stop</v>
      </c>
      <c r="K15" t="str">
        <f>IF(ISNUMBER(SEARCH("Flap",A15)),1,"")</f>
        <v/>
      </c>
      <c r="L15" t="str">
        <f>IF(ISNUMBER(SEARCH("Lateral",A15)),1,"")</f>
        <v/>
      </c>
      <c r="O15">
        <v>1</v>
      </c>
      <c r="X15" s="3"/>
    </row>
    <row r="16" spans="1:24" x14ac:dyDescent="0.35">
      <c r="A16" s="1" t="s">
        <v>52</v>
      </c>
      <c r="B16" s="1" t="s">
        <v>53</v>
      </c>
      <c r="C16" s="1" t="s">
        <v>54</v>
      </c>
      <c r="D16" s="1" t="s">
        <v>54</v>
      </c>
      <c r="E16" s="1" t="s">
        <v>55</v>
      </c>
      <c r="F16" s="1" t="s">
        <v>1010</v>
      </c>
      <c r="G16" s="1" t="s">
        <v>1074</v>
      </c>
      <c r="H16">
        <f>IF(ISNUMBER(SEARCH("Voiceless",A16)),0, IF(ISNUMBER(SEARCH("Voiced",A16)),1,""))</f>
        <v>1</v>
      </c>
      <c r="I16" t="str">
        <f>TRIM(LEFT(RIGHT(" "&amp;SUBSTITUTE(TRIM(A16)," ",REPT(" ",60)),120),60))</f>
        <v>bilabial</v>
      </c>
      <c r="J16" t="str">
        <f>TRIM(RIGHT(SUBSTITUTE(A16," ",REPT(" ",100)),100))</f>
        <v>nasal</v>
      </c>
      <c r="K16" t="str">
        <f>IF(ISNUMBER(SEARCH("Flap",A16)),1,"")</f>
        <v/>
      </c>
      <c r="L16" t="str">
        <f>IF(ISNUMBER(SEARCH("Lateral",A16)),1,"")</f>
        <v/>
      </c>
      <c r="O16">
        <f t="shared" si="0"/>
        <v>5</v>
      </c>
      <c r="X16" s="3" t="s">
        <v>1070</v>
      </c>
    </row>
    <row r="17" spans="1:24" x14ac:dyDescent="0.35">
      <c r="A17" s="1" t="s">
        <v>56</v>
      </c>
      <c r="B17" s="1" t="s">
        <v>57</v>
      </c>
      <c r="C17" s="1" t="s">
        <v>789</v>
      </c>
      <c r="D17" s="1" t="s">
        <v>789</v>
      </c>
      <c r="E17" s="1" t="s">
        <v>58</v>
      </c>
      <c r="F17" s="1" t="s">
        <v>1010</v>
      </c>
      <c r="G17" s="1" t="s">
        <v>1074</v>
      </c>
      <c r="H17">
        <f>IF(ISNUMBER(SEARCH("Voiceless",A17)),0, IF(ISNUMBER(SEARCH("Voiced",A17)),1,""))</f>
        <v>1</v>
      </c>
      <c r="I17" t="str">
        <f>TRIM(LEFT(RIGHT(" "&amp;SUBSTITUTE(TRIM(A17)," ",REPT(" ",60)),120),60))</f>
        <v>labiodental</v>
      </c>
      <c r="J17" t="str">
        <f>TRIM(RIGHT(SUBSTITUTE(A17," ",REPT(" ",100)),100))</f>
        <v>nasal</v>
      </c>
      <c r="K17" t="str">
        <f>IF(ISNUMBER(SEARCH("Flap",A17)),1,"")</f>
        <v/>
      </c>
      <c r="L17" t="str">
        <f>IF(ISNUMBER(SEARCH("Lateral",A17)),1,"")</f>
        <v/>
      </c>
      <c r="O17">
        <f t="shared" si="0"/>
        <v>5</v>
      </c>
      <c r="X17" s="3"/>
    </row>
    <row r="18" spans="1:24" x14ac:dyDescent="0.35">
      <c r="A18" s="1" t="s">
        <v>59</v>
      </c>
      <c r="B18" s="1" t="s">
        <v>60</v>
      </c>
      <c r="C18" s="1" t="s">
        <v>61</v>
      </c>
      <c r="D18" s="1" t="s">
        <v>61</v>
      </c>
      <c r="E18" s="1" t="s">
        <v>62</v>
      </c>
      <c r="F18" s="1" t="s">
        <v>1010</v>
      </c>
      <c r="G18" s="1" t="s">
        <v>1074</v>
      </c>
      <c r="H18">
        <f>IF(ISNUMBER(SEARCH("Voiceless",A18)),0, IF(ISNUMBER(SEARCH("Voiced",A18)),1,""))</f>
        <v>1</v>
      </c>
      <c r="I18" t="str">
        <f>TRIM(LEFT(RIGHT(" "&amp;SUBSTITUTE(TRIM(A18)," ",REPT(" ",60)),120),60))</f>
        <v>alveolar</v>
      </c>
      <c r="J18" t="str">
        <f>TRIM(RIGHT(SUBSTITUTE(A18," ",REPT(" ",100)),100))</f>
        <v>nasal</v>
      </c>
      <c r="K18" t="str">
        <f>IF(ISNUMBER(SEARCH("Flap",A18)),1,"")</f>
        <v/>
      </c>
      <c r="L18" t="str">
        <f>IF(ISNUMBER(SEARCH("Lateral",A18)),1,"")</f>
        <v/>
      </c>
      <c r="O18">
        <f t="shared" si="0"/>
        <v>5</v>
      </c>
      <c r="X18" s="3" t="s">
        <v>1070</v>
      </c>
    </row>
    <row r="19" spans="1:24" x14ac:dyDescent="0.35">
      <c r="A19" s="1" t="s">
        <v>63</v>
      </c>
      <c r="B19" s="1" t="s">
        <v>64</v>
      </c>
      <c r="C19" s="1" t="s">
        <v>790</v>
      </c>
      <c r="D19" s="1" t="s">
        <v>790</v>
      </c>
      <c r="E19" s="1" t="s">
        <v>65</v>
      </c>
      <c r="F19" s="1" t="s">
        <v>1010</v>
      </c>
      <c r="G19" s="1" t="s">
        <v>1074</v>
      </c>
      <c r="H19">
        <f>IF(ISNUMBER(SEARCH("Voiceless",A19)),0, IF(ISNUMBER(SEARCH("Voiced",A19)),1,""))</f>
        <v>1</v>
      </c>
      <c r="I19" t="str">
        <f>TRIM(LEFT(RIGHT(" "&amp;SUBSTITUTE(TRIM(A19)," ",REPT(" ",60)),120),60))</f>
        <v>retroflex</v>
      </c>
      <c r="J19" t="str">
        <f>TRIM(RIGHT(SUBSTITUTE(A19," ",REPT(" ",100)),100))</f>
        <v>nasal</v>
      </c>
      <c r="K19" t="str">
        <f>IF(ISNUMBER(SEARCH("Flap",A19)),1,"")</f>
        <v/>
      </c>
      <c r="L19" t="str">
        <f>IF(ISNUMBER(SEARCH("Lateral",A19)),1,"")</f>
        <v/>
      </c>
      <c r="O19">
        <f t="shared" si="0"/>
        <v>5</v>
      </c>
      <c r="X19" s="3"/>
    </row>
    <row r="20" spans="1:24" x14ac:dyDescent="0.35">
      <c r="A20" s="1" t="s">
        <v>66</v>
      </c>
      <c r="B20" s="1" t="s">
        <v>67</v>
      </c>
      <c r="C20" s="1" t="s">
        <v>791</v>
      </c>
      <c r="D20" s="1" t="s">
        <v>791</v>
      </c>
      <c r="E20" s="1" t="s">
        <v>68</v>
      </c>
      <c r="F20" s="1" t="s">
        <v>1010</v>
      </c>
      <c r="G20" s="1" t="s">
        <v>1074</v>
      </c>
      <c r="H20">
        <f>IF(ISNUMBER(SEARCH("Voiceless",A20)),0, IF(ISNUMBER(SEARCH("Voiced",A20)),1,""))</f>
        <v>1</v>
      </c>
      <c r="I20" t="str">
        <f>TRIM(LEFT(RIGHT(" "&amp;SUBSTITUTE(TRIM(A20)," ",REPT(" ",60)),120),60))</f>
        <v>palatal</v>
      </c>
      <c r="J20" t="str">
        <f>TRIM(RIGHT(SUBSTITUTE(A20," ",REPT(" ",100)),100))</f>
        <v>nasal</v>
      </c>
      <c r="K20" t="str">
        <f>IF(ISNUMBER(SEARCH("Flap",A20)),1,"")</f>
        <v/>
      </c>
      <c r="L20" t="str">
        <f>IF(ISNUMBER(SEARCH("Lateral",A20)),1,"")</f>
        <v/>
      </c>
      <c r="O20">
        <f t="shared" si="0"/>
        <v>5</v>
      </c>
      <c r="X20" s="3"/>
    </row>
    <row r="21" spans="1:24" x14ac:dyDescent="0.35">
      <c r="A21" s="1" t="s">
        <v>69</v>
      </c>
      <c r="B21" s="1" t="s">
        <v>70</v>
      </c>
      <c r="C21" s="1" t="s">
        <v>792</v>
      </c>
      <c r="D21" s="1" t="s">
        <v>792</v>
      </c>
      <c r="E21" s="1" t="s">
        <v>71</v>
      </c>
      <c r="F21" s="1" t="s">
        <v>1010</v>
      </c>
      <c r="G21" s="1" t="s">
        <v>1074</v>
      </c>
      <c r="H21">
        <f>IF(ISNUMBER(SEARCH("Voiceless",A21)),0, IF(ISNUMBER(SEARCH("Voiced",A21)),1,""))</f>
        <v>1</v>
      </c>
      <c r="I21" t="str">
        <f>TRIM(LEFT(RIGHT(" "&amp;SUBSTITUTE(TRIM(A21)," ",REPT(" ",60)),120),60))</f>
        <v>velar</v>
      </c>
      <c r="J21" t="str">
        <f>TRIM(RIGHT(SUBSTITUTE(A21," ",REPT(" ",100)),100))</f>
        <v>nasal</v>
      </c>
      <c r="K21" t="str">
        <f>IF(ISNUMBER(SEARCH("Flap",A21)),1,"")</f>
        <v/>
      </c>
      <c r="L21" t="str">
        <f>IF(ISNUMBER(SEARCH("Lateral",A21)),1,"")</f>
        <v/>
      </c>
      <c r="O21">
        <f t="shared" si="0"/>
        <v>5</v>
      </c>
      <c r="X21" s="3" t="s">
        <v>1071</v>
      </c>
    </row>
    <row r="22" spans="1:24" x14ac:dyDescent="0.35">
      <c r="A22" s="1" t="s">
        <v>72</v>
      </c>
      <c r="B22" s="1" t="s">
        <v>73</v>
      </c>
      <c r="C22" s="1" t="s">
        <v>793</v>
      </c>
      <c r="D22" s="1" t="s">
        <v>793</v>
      </c>
      <c r="E22" s="1" t="s">
        <v>74</v>
      </c>
      <c r="F22" s="1" t="s">
        <v>1010</v>
      </c>
      <c r="G22" s="1" t="s">
        <v>1074</v>
      </c>
      <c r="H22">
        <f>IF(ISNUMBER(SEARCH("Voiceless",A22)),0, IF(ISNUMBER(SEARCH("Voiced",A22)),1,""))</f>
        <v>1</v>
      </c>
      <c r="I22" t="str">
        <f>TRIM(LEFT(RIGHT(" "&amp;SUBSTITUTE(TRIM(A22)," ",REPT(" ",60)),120),60))</f>
        <v>uvular</v>
      </c>
      <c r="J22" t="str">
        <f>TRIM(RIGHT(SUBSTITUTE(A22," ",REPT(" ",100)),100))</f>
        <v>nasal</v>
      </c>
      <c r="K22" t="str">
        <f>IF(ISNUMBER(SEARCH("Flap",A22)),1,"")</f>
        <v/>
      </c>
      <c r="L22" t="str">
        <f>IF(ISNUMBER(SEARCH("Lateral",A22)),1,"")</f>
        <v/>
      </c>
      <c r="O22">
        <f t="shared" si="0"/>
        <v>5</v>
      </c>
      <c r="X22" s="3"/>
    </row>
    <row r="23" spans="1:24" x14ac:dyDescent="0.35">
      <c r="A23" s="1" t="s">
        <v>75</v>
      </c>
      <c r="B23" s="1" t="s">
        <v>76</v>
      </c>
      <c r="C23" s="1" t="s">
        <v>794</v>
      </c>
      <c r="D23" s="1" t="s">
        <v>794</v>
      </c>
      <c r="E23" s="1" t="s">
        <v>77</v>
      </c>
      <c r="F23" s="1" t="s">
        <v>1010</v>
      </c>
      <c r="G23" s="1" t="s">
        <v>1074</v>
      </c>
      <c r="H23">
        <f>IF(ISNUMBER(SEARCH("Voiceless",A23)),0, IF(ISNUMBER(SEARCH("Voiced",A23)),1,""))</f>
        <v>0</v>
      </c>
      <c r="I23" t="str">
        <f>TRIM(LEFT(RIGHT(" "&amp;SUBSTITUTE(TRIM(A23)," ",REPT(" ",60)),120),60))</f>
        <v>bilabial</v>
      </c>
      <c r="J23" t="str">
        <f>TRIM(RIGHT(SUBSTITUTE(A23," ",REPT(" ",100)),100))</f>
        <v>fricative</v>
      </c>
      <c r="K23" t="str">
        <f>IF(ISNUMBER(SEARCH("Flap",A23)),1,"")</f>
        <v/>
      </c>
      <c r="L23" t="str">
        <f>IF(ISNUMBER(SEARCH("Lateral",A23)),1,"")</f>
        <v/>
      </c>
      <c r="O23">
        <f t="shared" si="0"/>
        <v>3</v>
      </c>
      <c r="X23" s="3"/>
    </row>
    <row r="24" spans="1:24" x14ac:dyDescent="0.35">
      <c r="A24" s="1" t="s">
        <v>78</v>
      </c>
      <c r="B24" s="1" t="s">
        <v>79</v>
      </c>
      <c r="C24" s="1" t="s">
        <v>795</v>
      </c>
      <c r="D24" s="1" t="s">
        <v>795</v>
      </c>
      <c r="E24" s="1" t="s">
        <v>80</v>
      </c>
      <c r="F24" s="1" t="s">
        <v>1010</v>
      </c>
      <c r="G24" s="1" t="s">
        <v>1074</v>
      </c>
      <c r="H24">
        <f>IF(ISNUMBER(SEARCH("Voiceless",A24)),0, IF(ISNUMBER(SEARCH("Voiced",A24)),1,""))</f>
        <v>1</v>
      </c>
      <c r="I24" t="str">
        <f>TRIM(LEFT(RIGHT(" "&amp;SUBSTITUTE(TRIM(A24)," ",REPT(" ",60)),120),60))</f>
        <v>bilabial</v>
      </c>
      <c r="J24" t="str">
        <f>TRIM(RIGHT(SUBSTITUTE(A24," ",REPT(" ",100)),100))</f>
        <v>fricative</v>
      </c>
      <c r="K24" t="str">
        <f>IF(ISNUMBER(SEARCH("Flap",A24)),1,"")</f>
        <v/>
      </c>
      <c r="L24" t="str">
        <f>IF(ISNUMBER(SEARCH("Lateral",A24)),1,"")</f>
        <v/>
      </c>
      <c r="O24">
        <f t="shared" si="0"/>
        <v>4</v>
      </c>
      <c r="X24" s="3"/>
    </row>
    <row r="25" spans="1:24" x14ac:dyDescent="0.35">
      <c r="A25" s="1" t="s">
        <v>81</v>
      </c>
      <c r="B25" s="1" t="s">
        <v>82</v>
      </c>
      <c r="C25" s="1" t="s">
        <v>83</v>
      </c>
      <c r="D25" s="1" t="s">
        <v>83</v>
      </c>
      <c r="E25" s="1" t="s">
        <v>84</v>
      </c>
      <c r="F25" s="1" t="s">
        <v>1010</v>
      </c>
      <c r="G25" s="1" t="s">
        <v>1074</v>
      </c>
      <c r="H25">
        <f>IF(ISNUMBER(SEARCH("Voiceless",A25)),0, IF(ISNUMBER(SEARCH("Voiced",A25)),1,""))</f>
        <v>0</v>
      </c>
      <c r="I25" t="str">
        <f>TRIM(LEFT(RIGHT(" "&amp;SUBSTITUTE(TRIM(A25)," ",REPT(" ",60)),120),60))</f>
        <v>labiodental</v>
      </c>
      <c r="J25" t="str">
        <f>TRIM(RIGHT(SUBSTITUTE(A25," ",REPT(" ",100)),100))</f>
        <v>fricative</v>
      </c>
      <c r="K25" t="str">
        <f>IF(ISNUMBER(SEARCH("Flap",A25)),1,"")</f>
        <v/>
      </c>
      <c r="L25" t="str">
        <f>IF(ISNUMBER(SEARCH("Lateral",A25)),1,"")</f>
        <v/>
      </c>
      <c r="O25">
        <f t="shared" si="0"/>
        <v>3</v>
      </c>
      <c r="X25" s="3" t="s">
        <v>1072</v>
      </c>
    </row>
    <row r="26" spans="1:24" x14ac:dyDescent="0.35">
      <c r="A26" s="1" t="s">
        <v>85</v>
      </c>
      <c r="B26" s="1" t="s">
        <v>86</v>
      </c>
      <c r="C26" s="1" t="s">
        <v>87</v>
      </c>
      <c r="D26" s="1" t="s">
        <v>87</v>
      </c>
      <c r="E26" s="1" t="s">
        <v>88</v>
      </c>
      <c r="F26" s="1" t="s">
        <v>1010</v>
      </c>
      <c r="G26" s="1" t="s">
        <v>1074</v>
      </c>
      <c r="H26">
        <f>IF(ISNUMBER(SEARCH("Voiceless",A26)),0, IF(ISNUMBER(SEARCH("Voiced",A26)),1,""))</f>
        <v>1</v>
      </c>
      <c r="I26" t="str">
        <f>TRIM(LEFT(RIGHT(" "&amp;SUBSTITUTE(TRIM(A26)," ",REPT(" ",60)),120),60))</f>
        <v>labiodental</v>
      </c>
      <c r="J26" t="str">
        <f>TRIM(RIGHT(SUBSTITUTE(A26," ",REPT(" ",100)),100))</f>
        <v>fricative</v>
      </c>
      <c r="K26" t="str">
        <f>IF(ISNUMBER(SEARCH("Flap",A26)),1,"")</f>
        <v/>
      </c>
      <c r="L26" t="str">
        <f>IF(ISNUMBER(SEARCH("Lateral",A26)),1,"")</f>
        <v/>
      </c>
      <c r="O26">
        <f t="shared" si="0"/>
        <v>4</v>
      </c>
      <c r="X26" s="3" t="s">
        <v>1072</v>
      </c>
    </row>
    <row r="27" spans="1:24" x14ac:dyDescent="0.35">
      <c r="A27" s="1" t="s">
        <v>89</v>
      </c>
      <c r="B27" s="1" t="s">
        <v>90</v>
      </c>
      <c r="C27" s="1" t="s">
        <v>796</v>
      </c>
      <c r="D27" s="1" t="s">
        <v>796</v>
      </c>
      <c r="E27" s="1" t="s">
        <v>91</v>
      </c>
      <c r="F27" s="1" t="s">
        <v>1010</v>
      </c>
      <c r="G27" s="1" t="s">
        <v>1074</v>
      </c>
      <c r="H27">
        <f>IF(ISNUMBER(SEARCH("Voiceless",A27)),0, IF(ISNUMBER(SEARCH("Voiced",A27)),1,""))</f>
        <v>0</v>
      </c>
      <c r="I27" t="str">
        <f>TRIM(LEFT(RIGHT(" "&amp;SUBSTITUTE(TRIM(A27)," ",REPT(" ",60)),120),60))</f>
        <v>dental</v>
      </c>
      <c r="J27" t="str">
        <f>TRIM(RIGHT(SUBSTITUTE(A27," ",REPT(" ",100)),100))</f>
        <v>fricative</v>
      </c>
      <c r="K27" t="str">
        <f>IF(ISNUMBER(SEARCH("Flap",A27)),1,"")</f>
        <v/>
      </c>
      <c r="L27" t="str">
        <f>IF(ISNUMBER(SEARCH("Lateral",A27)),1,"")</f>
        <v/>
      </c>
      <c r="O27">
        <f t="shared" si="0"/>
        <v>3</v>
      </c>
      <c r="X27" s="3" t="s">
        <v>1071</v>
      </c>
    </row>
    <row r="28" spans="1:24" x14ac:dyDescent="0.35">
      <c r="A28" s="1" t="s">
        <v>92</v>
      </c>
      <c r="B28" s="1" t="s">
        <v>93</v>
      </c>
      <c r="C28" s="1" t="s">
        <v>94</v>
      </c>
      <c r="D28" s="1" t="s">
        <v>94</v>
      </c>
      <c r="E28" s="1" t="s">
        <v>95</v>
      </c>
      <c r="F28" s="1" t="s">
        <v>1010</v>
      </c>
      <c r="G28" s="1" t="s">
        <v>1074</v>
      </c>
      <c r="H28">
        <f>IF(ISNUMBER(SEARCH("Voiceless",A28)),0, IF(ISNUMBER(SEARCH("Voiced",A28)),1,""))</f>
        <v>1</v>
      </c>
      <c r="I28" t="str">
        <f>TRIM(LEFT(RIGHT(" "&amp;SUBSTITUTE(TRIM(A28)," ",REPT(" ",60)),120),60))</f>
        <v>dental</v>
      </c>
      <c r="J28" t="str">
        <f>TRIM(RIGHT(SUBSTITUTE(A28," ",REPT(" ",100)),100))</f>
        <v>fricative</v>
      </c>
      <c r="K28" t="str">
        <f>IF(ISNUMBER(SEARCH("Flap",A28)),1,"")</f>
        <v/>
      </c>
      <c r="L28" t="str">
        <f>IF(ISNUMBER(SEARCH("Lateral",A28)),1,"")</f>
        <v/>
      </c>
      <c r="O28">
        <f t="shared" si="0"/>
        <v>4</v>
      </c>
      <c r="X28" s="3" t="s">
        <v>1071</v>
      </c>
    </row>
    <row r="29" spans="1:24" x14ac:dyDescent="0.35">
      <c r="A29" s="1" t="s">
        <v>96</v>
      </c>
      <c r="B29" s="1" t="s">
        <v>97</v>
      </c>
      <c r="C29" s="1" t="s">
        <v>98</v>
      </c>
      <c r="D29" s="1" t="s">
        <v>98</v>
      </c>
      <c r="E29" s="1" t="s">
        <v>99</v>
      </c>
      <c r="F29" s="1" t="s">
        <v>1010</v>
      </c>
      <c r="G29" s="1" t="s">
        <v>1074</v>
      </c>
      <c r="H29">
        <f>IF(ISNUMBER(SEARCH("Voiceless",A29)),0, IF(ISNUMBER(SEARCH("Voiced",A29)),1,""))</f>
        <v>0</v>
      </c>
      <c r="I29" t="str">
        <f>TRIM(LEFT(RIGHT(" "&amp;SUBSTITUTE(TRIM(A29)," ",REPT(" ",60)),120),60))</f>
        <v>alveolar</v>
      </c>
      <c r="J29" t="str">
        <f>TRIM(RIGHT(SUBSTITUTE(A29," ",REPT(" ",100)),100))</f>
        <v>fricative</v>
      </c>
      <c r="K29" t="str">
        <f>IF(ISNUMBER(SEARCH("Flap",A29)),1,"")</f>
        <v/>
      </c>
      <c r="L29" t="str">
        <f>IF(ISNUMBER(SEARCH("Lateral",A29)),1,"")</f>
        <v/>
      </c>
      <c r="O29">
        <f t="shared" si="0"/>
        <v>3</v>
      </c>
      <c r="X29" s="3" t="s">
        <v>1071</v>
      </c>
    </row>
    <row r="30" spans="1:24" x14ac:dyDescent="0.35">
      <c r="A30" s="1" t="s">
        <v>100</v>
      </c>
      <c r="B30" s="1" t="s">
        <v>101</v>
      </c>
      <c r="C30" s="1" t="s">
        <v>102</v>
      </c>
      <c r="D30" s="1" t="s">
        <v>102</v>
      </c>
      <c r="E30" s="1" t="s">
        <v>103</v>
      </c>
      <c r="F30" s="1" t="s">
        <v>1010</v>
      </c>
      <c r="G30" s="1" t="s">
        <v>1074</v>
      </c>
      <c r="H30">
        <f>IF(ISNUMBER(SEARCH("Voiceless",A30)),0, IF(ISNUMBER(SEARCH("Voiced",A30)),1,""))</f>
        <v>1</v>
      </c>
      <c r="I30" t="str">
        <f>TRIM(LEFT(RIGHT(" "&amp;SUBSTITUTE(TRIM(A30)," ",REPT(" ",60)),120),60))</f>
        <v>alveolar</v>
      </c>
      <c r="J30" t="str">
        <f>TRIM(RIGHT(SUBSTITUTE(A30," ",REPT(" ",100)),100))</f>
        <v>fricative</v>
      </c>
      <c r="K30" t="str">
        <f>IF(ISNUMBER(SEARCH("Flap",A30)),1,"")</f>
        <v/>
      </c>
      <c r="L30" t="str">
        <f>IF(ISNUMBER(SEARCH("Lateral",A30)),1,"")</f>
        <v/>
      </c>
      <c r="O30">
        <f t="shared" si="0"/>
        <v>4</v>
      </c>
      <c r="X30" s="3" t="s">
        <v>1071</v>
      </c>
    </row>
    <row r="31" spans="1:24" x14ac:dyDescent="0.35">
      <c r="A31" s="1" t="s">
        <v>104</v>
      </c>
      <c r="B31" s="1" t="s">
        <v>105</v>
      </c>
      <c r="C31" s="1" t="s">
        <v>797</v>
      </c>
      <c r="D31" s="1" t="s">
        <v>797</v>
      </c>
      <c r="E31" s="1" t="s">
        <v>106</v>
      </c>
      <c r="F31" s="1" t="s">
        <v>1010</v>
      </c>
      <c r="G31" s="1" t="s">
        <v>1074</v>
      </c>
      <c r="H31">
        <f>IF(ISNUMBER(SEARCH("Voiceless",A31)),0, IF(ISNUMBER(SEARCH("Voiced",A31)),1,""))</f>
        <v>0</v>
      </c>
      <c r="I31" t="str">
        <f>TRIM(LEFT(RIGHT(" "&amp;SUBSTITUTE(TRIM(A31)," ",REPT(" ",60)),120),60))</f>
        <v>postalveolar</v>
      </c>
      <c r="J31" t="str">
        <f>TRIM(RIGHT(SUBSTITUTE(A31," ",REPT(" ",100)),100))</f>
        <v>fricative</v>
      </c>
      <c r="K31" t="str">
        <f>IF(ISNUMBER(SEARCH("Flap",A31)),1,"")</f>
        <v/>
      </c>
      <c r="L31" t="str">
        <f>IF(ISNUMBER(SEARCH("Lateral",A31)),1,"")</f>
        <v/>
      </c>
      <c r="O31">
        <f t="shared" si="0"/>
        <v>3</v>
      </c>
      <c r="X31" s="3" t="s">
        <v>1071</v>
      </c>
    </row>
    <row r="32" spans="1:24" x14ac:dyDescent="0.35">
      <c r="A32" s="1" t="s">
        <v>107</v>
      </c>
      <c r="B32" s="1" t="s">
        <v>108</v>
      </c>
      <c r="C32" s="1" t="s">
        <v>798</v>
      </c>
      <c r="D32" s="1" t="s">
        <v>798</v>
      </c>
      <c r="E32" s="1" t="s">
        <v>109</v>
      </c>
      <c r="F32" s="1" t="s">
        <v>1010</v>
      </c>
      <c r="G32" s="1" t="s">
        <v>1074</v>
      </c>
      <c r="H32">
        <f>IF(ISNUMBER(SEARCH("Voiceless",A32)),0, IF(ISNUMBER(SEARCH("Voiced",A32)),1,""))</f>
        <v>1</v>
      </c>
      <c r="I32" t="str">
        <f>TRIM(LEFT(RIGHT(" "&amp;SUBSTITUTE(TRIM(A32)," ",REPT(" ",60)),120),60))</f>
        <v>postalveolar</v>
      </c>
      <c r="J32" t="str">
        <f>TRIM(RIGHT(SUBSTITUTE(A32," ",REPT(" ",100)),100))</f>
        <v>fricative</v>
      </c>
      <c r="K32" t="str">
        <f>IF(ISNUMBER(SEARCH("Flap",A32)),1,"")</f>
        <v/>
      </c>
      <c r="L32" t="str">
        <f>IF(ISNUMBER(SEARCH("Lateral",A32)),1,"")</f>
        <v/>
      </c>
      <c r="O32">
        <f t="shared" si="0"/>
        <v>4</v>
      </c>
      <c r="X32" s="3" t="s">
        <v>1071</v>
      </c>
    </row>
    <row r="33" spans="1:24" x14ac:dyDescent="0.35">
      <c r="A33" s="1" t="s">
        <v>110</v>
      </c>
      <c r="B33" s="1" t="s">
        <v>111</v>
      </c>
      <c r="C33" s="1" t="s">
        <v>799</v>
      </c>
      <c r="D33" s="1" t="s">
        <v>799</v>
      </c>
      <c r="E33" s="1" t="s">
        <v>112</v>
      </c>
      <c r="F33" s="1" t="s">
        <v>1010</v>
      </c>
      <c r="G33" s="1" t="s">
        <v>1074</v>
      </c>
      <c r="H33">
        <f>IF(ISNUMBER(SEARCH("Voiceless",A33)),0, IF(ISNUMBER(SEARCH("Voiced",A33)),1,""))</f>
        <v>0</v>
      </c>
      <c r="I33" t="str">
        <f>TRIM(LEFT(RIGHT(" "&amp;SUBSTITUTE(TRIM(A33)," ",REPT(" ",60)),120),60))</f>
        <v>retroflex</v>
      </c>
      <c r="J33" t="str">
        <f>TRIM(RIGHT(SUBSTITUTE(A33," ",REPT(" ",100)),100))</f>
        <v>fricative</v>
      </c>
      <c r="K33" t="str">
        <f>IF(ISNUMBER(SEARCH("Flap",A33)),1,"")</f>
        <v/>
      </c>
      <c r="L33" t="str">
        <f>IF(ISNUMBER(SEARCH("Lateral",A33)),1,"")</f>
        <v/>
      </c>
      <c r="O33">
        <f t="shared" si="0"/>
        <v>3</v>
      </c>
      <c r="X33" s="3"/>
    </row>
    <row r="34" spans="1:24" x14ac:dyDescent="0.35">
      <c r="A34" s="1" t="s">
        <v>113</v>
      </c>
      <c r="B34" s="1" t="s">
        <v>114</v>
      </c>
      <c r="C34" s="1" t="s">
        <v>800</v>
      </c>
      <c r="D34" s="1" t="s">
        <v>800</v>
      </c>
      <c r="E34" s="1" t="s">
        <v>115</v>
      </c>
      <c r="F34" s="1" t="s">
        <v>1010</v>
      </c>
      <c r="G34" s="1" t="s">
        <v>1074</v>
      </c>
      <c r="H34">
        <f>IF(ISNUMBER(SEARCH("Voiceless",A34)),0, IF(ISNUMBER(SEARCH("Voiced",A34)),1,""))</f>
        <v>1</v>
      </c>
      <c r="I34" t="str">
        <f>TRIM(LEFT(RIGHT(" "&amp;SUBSTITUTE(TRIM(A34)," ",REPT(" ",60)),120),60))</f>
        <v>retroflex</v>
      </c>
      <c r="J34" t="str">
        <f>TRIM(RIGHT(SUBSTITUTE(A34," ",REPT(" ",100)),100))</f>
        <v>fricative</v>
      </c>
      <c r="K34" t="str">
        <f>IF(ISNUMBER(SEARCH("Flap",A34)),1,"")</f>
        <v/>
      </c>
      <c r="L34" t="str">
        <f>IF(ISNUMBER(SEARCH("Lateral",A34)),1,"")</f>
        <v/>
      </c>
      <c r="O34">
        <f t="shared" si="0"/>
        <v>4</v>
      </c>
      <c r="X34" s="3"/>
    </row>
    <row r="35" spans="1:24" x14ac:dyDescent="0.35">
      <c r="A35" s="1" t="s">
        <v>116</v>
      </c>
      <c r="B35" s="1" t="s">
        <v>117</v>
      </c>
      <c r="C35" s="1" t="s">
        <v>118</v>
      </c>
      <c r="D35" s="1" t="s">
        <v>118</v>
      </c>
      <c r="E35" s="1" t="s">
        <v>119</v>
      </c>
      <c r="F35" s="1" t="s">
        <v>1010</v>
      </c>
      <c r="G35" s="1" t="s">
        <v>1074</v>
      </c>
      <c r="H35">
        <f>IF(ISNUMBER(SEARCH("Voiceless",A35)),0, IF(ISNUMBER(SEARCH("Voiced",A35)),1,""))</f>
        <v>0</v>
      </c>
      <c r="I35" t="str">
        <f>TRIM(LEFT(RIGHT(" "&amp;SUBSTITUTE(TRIM(A35)," ",REPT(" ",60)),120),60))</f>
        <v>palatal</v>
      </c>
      <c r="J35" t="str">
        <f>TRIM(RIGHT(SUBSTITUTE(A35," ",REPT(" ",100)),100))</f>
        <v>fricative</v>
      </c>
      <c r="K35" t="str">
        <f>IF(ISNUMBER(SEARCH("Flap",A35)),1,"")</f>
        <v/>
      </c>
      <c r="L35" t="str">
        <f>IF(ISNUMBER(SEARCH("Lateral",A35)),1,"")</f>
        <v/>
      </c>
      <c r="O35">
        <f t="shared" si="0"/>
        <v>3</v>
      </c>
      <c r="X35" s="3"/>
    </row>
    <row r="36" spans="1:24" x14ac:dyDescent="0.35">
      <c r="A36" s="1" t="s">
        <v>120</v>
      </c>
      <c r="B36" s="1" t="s">
        <v>121</v>
      </c>
      <c r="C36" s="1" t="s">
        <v>801</v>
      </c>
      <c r="D36" s="1" t="s">
        <v>801</v>
      </c>
      <c r="E36" s="1" t="s">
        <v>122</v>
      </c>
      <c r="F36" s="1" t="s">
        <v>1010</v>
      </c>
      <c r="G36" s="1" t="s">
        <v>1074</v>
      </c>
      <c r="H36">
        <f>IF(ISNUMBER(SEARCH("Voiceless",A36)),0, IF(ISNUMBER(SEARCH("Voiced",A36)),1,""))</f>
        <v>1</v>
      </c>
      <c r="I36" t="str">
        <f>TRIM(LEFT(RIGHT(" "&amp;SUBSTITUTE(TRIM(A36)," ",REPT(" ",60)),120),60))</f>
        <v>palatal</v>
      </c>
      <c r="J36" t="str">
        <f>TRIM(RIGHT(SUBSTITUTE(A36," ",REPT(" ",100)),100))</f>
        <v>fricative</v>
      </c>
      <c r="K36" t="str">
        <f>IF(ISNUMBER(SEARCH("Flap",A36)),1,"")</f>
        <v/>
      </c>
      <c r="L36" t="str">
        <f>IF(ISNUMBER(SEARCH("Lateral",A36)),1,"")</f>
        <v/>
      </c>
      <c r="O36">
        <f t="shared" si="0"/>
        <v>4</v>
      </c>
      <c r="X36" s="3"/>
    </row>
    <row r="37" spans="1:24" x14ac:dyDescent="0.35">
      <c r="A37" s="1" t="s">
        <v>123</v>
      </c>
      <c r="B37" s="1" t="s">
        <v>124</v>
      </c>
      <c r="C37" s="1" t="s">
        <v>125</v>
      </c>
      <c r="D37" s="1" t="s">
        <v>125</v>
      </c>
      <c r="E37" s="1" t="s">
        <v>126</v>
      </c>
      <c r="F37" s="1" t="s">
        <v>1010</v>
      </c>
      <c r="G37" s="1" t="s">
        <v>1074</v>
      </c>
      <c r="H37">
        <f>IF(ISNUMBER(SEARCH("Voiceless",A37)),0, IF(ISNUMBER(SEARCH("Voiced",A37)),1,""))</f>
        <v>0</v>
      </c>
      <c r="I37" t="str">
        <f>TRIM(LEFT(RIGHT(" "&amp;SUBSTITUTE(TRIM(A37)," ",REPT(" ",60)),120),60))</f>
        <v>velar</v>
      </c>
      <c r="J37" t="str">
        <f>TRIM(RIGHT(SUBSTITUTE(A37," ",REPT(" ",100)),100))</f>
        <v>fricative</v>
      </c>
      <c r="K37" t="str">
        <f>IF(ISNUMBER(SEARCH("Flap",A37)),1,"")</f>
        <v/>
      </c>
      <c r="L37" t="str">
        <f>IF(ISNUMBER(SEARCH("Lateral",A37)),1,"")</f>
        <v/>
      </c>
      <c r="O37">
        <f t="shared" si="0"/>
        <v>3</v>
      </c>
      <c r="X37" s="3"/>
    </row>
    <row r="38" spans="1:24" x14ac:dyDescent="0.35">
      <c r="A38" s="1" t="s">
        <v>127</v>
      </c>
      <c r="B38" s="1" t="s">
        <v>128</v>
      </c>
      <c r="C38" s="1" t="s">
        <v>802</v>
      </c>
      <c r="D38" s="1" t="s">
        <v>802</v>
      </c>
      <c r="E38" s="1" t="s">
        <v>129</v>
      </c>
      <c r="F38" s="1" t="s">
        <v>1010</v>
      </c>
      <c r="G38" s="1" t="s">
        <v>1074</v>
      </c>
      <c r="H38">
        <f>IF(ISNUMBER(SEARCH("Voiceless",A38)),0, IF(ISNUMBER(SEARCH("Voiced",A38)),1,""))</f>
        <v>1</v>
      </c>
      <c r="I38" t="str">
        <f>TRIM(LEFT(RIGHT(" "&amp;SUBSTITUTE(TRIM(A38)," ",REPT(" ",60)),120),60))</f>
        <v>velar</v>
      </c>
      <c r="J38" t="str">
        <f>TRIM(RIGHT(SUBSTITUTE(A38," ",REPT(" ",100)),100))</f>
        <v>fricative</v>
      </c>
      <c r="K38" t="str">
        <f>IF(ISNUMBER(SEARCH("Flap",A38)),1,"")</f>
        <v/>
      </c>
      <c r="L38" t="str">
        <f>IF(ISNUMBER(SEARCH("Lateral",A38)),1,"")</f>
        <v/>
      </c>
      <c r="O38">
        <f t="shared" si="0"/>
        <v>4</v>
      </c>
      <c r="X38" s="3"/>
    </row>
    <row r="39" spans="1:24" x14ac:dyDescent="0.35">
      <c r="A39" s="1" t="s">
        <v>130</v>
      </c>
      <c r="B39" s="1" t="s">
        <v>131</v>
      </c>
      <c r="C39" s="1" t="s">
        <v>803</v>
      </c>
      <c r="D39" s="1" t="s">
        <v>803</v>
      </c>
      <c r="E39" s="1" t="s">
        <v>132</v>
      </c>
      <c r="F39" s="1" t="s">
        <v>1010</v>
      </c>
      <c r="G39" s="1" t="s">
        <v>1074</v>
      </c>
      <c r="H39">
        <f>IF(ISNUMBER(SEARCH("Voiceless",A39)),0, IF(ISNUMBER(SEARCH("Voiced",A39)),1,""))</f>
        <v>0</v>
      </c>
      <c r="I39" t="str">
        <f>TRIM(LEFT(RIGHT(" "&amp;SUBSTITUTE(TRIM(A39)," ",REPT(" ",60)),120),60))</f>
        <v>uvular</v>
      </c>
      <c r="J39" t="str">
        <f>TRIM(RIGHT(SUBSTITUTE(A39," ",REPT(" ",100)),100))</f>
        <v>fricative</v>
      </c>
      <c r="K39" t="str">
        <f>IF(ISNUMBER(SEARCH("Flap",A39)),1,"")</f>
        <v/>
      </c>
      <c r="L39" t="str">
        <f>IF(ISNUMBER(SEARCH("Lateral",A39)),1,"")</f>
        <v/>
      </c>
      <c r="O39">
        <f t="shared" si="0"/>
        <v>3</v>
      </c>
      <c r="X39" s="3"/>
    </row>
    <row r="40" spans="1:24" x14ac:dyDescent="0.35">
      <c r="A40" s="1" t="s">
        <v>133</v>
      </c>
      <c r="B40" s="1" t="s">
        <v>134</v>
      </c>
      <c r="C40" s="1" t="s">
        <v>804</v>
      </c>
      <c r="D40" s="1" t="s">
        <v>804</v>
      </c>
      <c r="E40" s="1" t="s">
        <v>135</v>
      </c>
      <c r="F40" s="1" t="s">
        <v>1010</v>
      </c>
      <c r="G40" s="1" t="s">
        <v>1074</v>
      </c>
      <c r="H40">
        <f>IF(ISNUMBER(SEARCH("Voiceless",A40)),0, IF(ISNUMBER(SEARCH("Voiced",A40)),1,""))</f>
        <v>1</v>
      </c>
      <c r="I40" t="str">
        <f>TRIM(LEFT(RIGHT(" "&amp;SUBSTITUTE(TRIM(A40)," ",REPT(" ",60)),120),60))</f>
        <v>uvular</v>
      </c>
      <c r="J40" t="str">
        <f>TRIM(RIGHT(SUBSTITUTE(A40," ",REPT(" ",100)),100))</f>
        <v>fricative</v>
      </c>
      <c r="K40" t="str">
        <f>IF(ISNUMBER(SEARCH("Flap",A40)),1,"")</f>
        <v/>
      </c>
      <c r="L40" t="str">
        <f>IF(ISNUMBER(SEARCH("Lateral",A40)),1,"")</f>
        <v/>
      </c>
      <c r="O40">
        <f t="shared" si="0"/>
        <v>4</v>
      </c>
      <c r="W40">
        <v>1</v>
      </c>
      <c r="X40" s="3"/>
    </row>
    <row r="41" spans="1:24" x14ac:dyDescent="0.35">
      <c r="A41" s="1" t="s">
        <v>136</v>
      </c>
      <c r="B41" s="1" t="s">
        <v>137</v>
      </c>
      <c r="C41" s="1" t="s">
        <v>805</v>
      </c>
      <c r="D41" s="1" t="s">
        <v>805</v>
      </c>
      <c r="E41" s="1" t="s">
        <v>138</v>
      </c>
      <c r="F41" s="1" t="s">
        <v>1010</v>
      </c>
      <c r="G41" s="1" t="s">
        <v>1074</v>
      </c>
      <c r="H41">
        <f>IF(ISNUMBER(SEARCH("Voiceless",A41)),0, IF(ISNUMBER(SEARCH("Voiced",A41)),1,""))</f>
        <v>0</v>
      </c>
      <c r="I41" t="str">
        <f>TRIM(LEFT(RIGHT(" "&amp;SUBSTITUTE(TRIM(A41)," ",REPT(" ",60)),120),60))</f>
        <v>pharyngeal</v>
      </c>
      <c r="J41" t="str">
        <f>TRIM(RIGHT(SUBSTITUTE(A41," ",REPT(" ",100)),100))</f>
        <v>fricative</v>
      </c>
      <c r="K41" t="str">
        <f>IF(ISNUMBER(SEARCH("Flap",A41)),1,"")</f>
        <v/>
      </c>
      <c r="L41" t="str">
        <f>IF(ISNUMBER(SEARCH("Lateral",A41)),1,"")</f>
        <v/>
      </c>
      <c r="O41">
        <f t="shared" si="0"/>
        <v>3</v>
      </c>
      <c r="X41" s="3"/>
    </row>
    <row r="42" spans="1:24" x14ac:dyDescent="0.35">
      <c r="A42" s="1" t="s">
        <v>139</v>
      </c>
      <c r="B42" s="1" t="s">
        <v>140</v>
      </c>
      <c r="C42" s="1" t="s">
        <v>806</v>
      </c>
      <c r="D42" s="1" t="s">
        <v>806</v>
      </c>
      <c r="E42" s="1" t="s">
        <v>141</v>
      </c>
      <c r="F42" s="1" t="s">
        <v>1010</v>
      </c>
      <c r="G42" s="1" t="s">
        <v>1074</v>
      </c>
      <c r="H42">
        <f>IF(ISNUMBER(SEARCH("Voiceless",A42)),0, IF(ISNUMBER(SEARCH("Voiced",A42)),1,""))</f>
        <v>1</v>
      </c>
      <c r="I42" t="str">
        <f>TRIM(LEFT(RIGHT(" "&amp;SUBSTITUTE(TRIM(A42)," ",REPT(" ",60)),120),60))</f>
        <v>phayngeal</v>
      </c>
      <c r="J42" t="str">
        <f>TRIM(RIGHT(SUBSTITUTE(A42," ",REPT(" ",100)),100))</f>
        <v>fricative</v>
      </c>
      <c r="K42" t="str">
        <f>IF(ISNUMBER(SEARCH("Flap",A42)),1,"")</f>
        <v/>
      </c>
      <c r="L42" t="str">
        <f>IF(ISNUMBER(SEARCH("Lateral",A42)),1,"")</f>
        <v/>
      </c>
      <c r="O42">
        <f t="shared" si="0"/>
        <v>4</v>
      </c>
      <c r="X42" s="3"/>
    </row>
    <row r="43" spans="1:24" x14ac:dyDescent="0.35">
      <c r="A43" s="1" t="s">
        <v>142</v>
      </c>
      <c r="B43" s="1" t="s">
        <v>143</v>
      </c>
      <c r="C43" s="1" t="s">
        <v>144</v>
      </c>
      <c r="D43" s="1" t="s">
        <v>144</v>
      </c>
      <c r="E43" s="1" t="s">
        <v>145</v>
      </c>
      <c r="F43" s="1" t="s">
        <v>1010</v>
      </c>
      <c r="G43" s="1" t="s">
        <v>1074</v>
      </c>
      <c r="H43">
        <f>IF(ISNUMBER(SEARCH("Voiceless",A43)),0, IF(ISNUMBER(SEARCH("Voiced",A43)),1,""))</f>
        <v>0</v>
      </c>
      <c r="I43" t="str">
        <f>TRIM(LEFT(RIGHT(" "&amp;SUBSTITUTE(TRIM(A43)," ",REPT(" ",60)),120),60))</f>
        <v>glottal</v>
      </c>
      <c r="J43" t="str">
        <f>TRIM(RIGHT(SUBSTITUTE(A43," ",REPT(" ",100)),100))</f>
        <v>fricative</v>
      </c>
      <c r="K43" t="str">
        <f>IF(ISNUMBER(SEARCH("Flap",A43)),1,"")</f>
        <v/>
      </c>
      <c r="L43" t="str">
        <f>IF(ISNUMBER(SEARCH("Lateral",A43)),1,"")</f>
        <v/>
      </c>
      <c r="N43">
        <v>1</v>
      </c>
      <c r="O43">
        <f t="shared" si="0"/>
        <v>3</v>
      </c>
      <c r="X43" s="3" t="s">
        <v>1070</v>
      </c>
    </row>
    <row r="44" spans="1:24" x14ac:dyDescent="0.35">
      <c r="A44" s="1" t="s">
        <v>146</v>
      </c>
      <c r="B44" s="1" t="s">
        <v>147</v>
      </c>
      <c r="C44" s="1" t="s">
        <v>807</v>
      </c>
      <c r="D44" s="1" t="s">
        <v>807</v>
      </c>
      <c r="E44" s="1" t="s">
        <v>148</v>
      </c>
      <c r="F44" s="1" t="s">
        <v>1010</v>
      </c>
      <c r="G44" s="1" t="s">
        <v>1074</v>
      </c>
      <c r="H44">
        <f>IF(ISNUMBER(SEARCH("Voiceless",A44)),0, IF(ISNUMBER(SEARCH("Voiced",A44)),1,""))</f>
        <v>1</v>
      </c>
      <c r="I44" t="str">
        <f>TRIM(LEFT(RIGHT(" "&amp;SUBSTITUTE(TRIM(A44)," ",REPT(" ",60)),120),60))</f>
        <v>glottal</v>
      </c>
      <c r="J44" t="str">
        <f>TRIM(RIGHT(SUBSTITUTE(A44," ",REPT(" ",100)),100))</f>
        <v>fricative</v>
      </c>
      <c r="K44" t="str">
        <f>IF(ISNUMBER(SEARCH("Flap",A44)),1,"")</f>
        <v/>
      </c>
      <c r="L44" t="str">
        <f>IF(ISNUMBER(SEARCH("Lateral",A44)),1,"")</f>
        <v/>
      </c>
      <c r="O44">
        <f t="shared" si="0"/>
        <v>4</v>
      </c>
      <c r="X44" s="3"/>
    </row>
    <row r="45" spans="1:24" x14ac:dyDescent="0.35">
      <c r="A45" s="1" t="s">
        <v>149</v>
      </c>
      <c r="B45" s="1" t="s">
        <v>150</v>
      </c>
      <c r="C45" s="1" t="s">
        <v>808</v>
      </c>
      <c r="D45" s="1" t="s">
        <v>808</v>
      </c>
      <c r="E45" s="1" t="s">
        <v>151</v>
      </c>
      <c r="F45" s="1" t="s">
        <v>1010</v>
      </c>
      <c r="G45" s="1" t="s">
        <v>1074</v>
      </c>
      <c r="H45">
        <f>IF(ISNUMBER(SEARCH("Voiceless",A45)),0, IF(ISNUMBER(SEARCH("Voiced",A45)),1,""))</f>
        <v>0</v>
      </c>
      <c r="I45" t="str">
        <f>TRIM(LEFT(RIGHT(" "&amp;SUBSTITUTE(TRIM(A45)," ",REPT(" ",60)),120),60))</f>
        <v>lateral</v>
      </c>
      <c r="J45" t="str">
        <f>TRIM(RIGHT(SUBSTITUTE(A45," ",REPT(" ",100)),100))</f>
        <v>fricative</v>
      </c>
      <c r="K45" t="str">
        <f>IF(ISNUMBER(SEARCH("Flap",A45)),1,"")</f>
        <v/>
      </c>
      <c r="L45">
        <f>IF(ISNUMBER(SEARCH("Lateral",A45)),1,"")</f>
        <v>1</v>
      </c>
      <c r="O45">
        <f t="shared" si="0"/>
        <v>3</v>
      </c>
      <c r="X45" s="3"/>
    </row>
    <row r="46" spans="1:24" x14ac:dyDescent="0.35">
      <c r="A46" s="1" t="s">
        <v>152</v>
      </c>
      <c r="B46" s="1" t="s">
        <v>153</v>
      </c>
      <c r="C46" s="1" t="s">
        <v>809</v>
      </c>
      <c r="D46" s="1" t="s">
        <v>809</v>
      </c>
      <c r="E46" s="1" t="s">
        <v>154</v>
      </c>
      <c r="F46" s="1" t="s">
        <v>1010</v>
      </c>
      <c r="G46" s="1" t="s">
        <v>1074</v>
      </c>
      <c r="H46">
        <f>IF(ISNUMBER(SEARCH("Voiceless",A46)),0, IF(ISNUMBER(SEARCH("Voiced",A46)),1,""))</f>
        <v>1</v>
      </c>
      <c r="I46" t="str">
        <f>TRIM(LEFT(RIGHT(" "&amp;SUBSTITUTE(TRIM(A46)," ",REPT(" ",60)),120),60))</f>
        <v>lateral</v>
      </c>
      <c r="J46" t="str">
        <f>TRIM(RIGHT(SUBSTITUTE(A46," ",REPT(" ",100)),100))</f>
        <v>fricative</v>
      </c>
      <c r="K46" t="str">
        <f>IF(ISNUMBER(SEARCH("Flap",A46)),1,"")</f>
        <v/>
      </c>
      <c r="L46">
        <f>IF(ISNUMBER(SEARCH("Lateral",A46)),1,"")</f>
        <v>1</v>
      </c>
      <c r="O46">
        <f t="shared" si="0"/>
        <v>4</v>
      </c>
      <c r="X46" s="3"/>
    </row>
    <row r="47" spans="1:24" x14ac:dyDescent="0.35">
      <c r="A47" s="1" t="s">
        <v>155</v>
      </c>
      <c r="B47" s="1" t="s">
        <v>156</v>
      </c>
      <c r="C47" s="1" t="s">
        <v>810</v>
      </c>
      <c r="D47" s="1" t="s">
        <v>810</v>
      </c>
      <c r="E47" s="1" t="s">
        <v>157</v>
      </c>
      <c r="F47" s="1" t="s">
        <v>1010</v>
      </c>
      <c r="G47" s="1" t="s">
        <v>1074</v>
      </c>
      <c r="H47">
        <f>IF(ISNUMBER(SEARCH("Voiceless",A47)),0, IF(ISNUMBER(SEARCH("Voiced",A47)),1,""))</f>
        <v>0</v>
      </c>
      <c r="I47" t="str">
        <f>TRIM(LEFT(RIGHT(" "&amp;SUBSTITUTE(TRIM(A47)," ",REPT(" ",60)),120),60))</f>
        <v>alveopalatal</v>
      </c>
      <c r="J47" t="str">
        <f>TRIM(RIGHT(SUBSTITUTE(A47," ",REPT(" ",100)),100))</f>
        <v>fricative</v>
      </c>
      <c r="K47" t="str">
        <f>IF(ISNUMBER(SEARCH("Flap",A47)),1,"")</f>
        <v/>
      </c>
      <c r="L47" t="str">
        <f>IF(ISNUMBER(SEARCH("Lateral",A47)),1,"")</f>
        <v/>
      </c>
      <c r="O47">
        <f t="shared" si="0"/>
        <v>3</v>
      </c>
      <c r="X47" s="3"/>
    </row>
    <row r="48" spans="1:24" x14ac:dyDescent="0.35">
      <c r="A48" s="1" t="s">
        <v>158</v>
      </c>
      <c r="B48" s="1" t="s">
        <v>159</v>
      </c>
      <c r="C48" s="1" t="s">
        <v>811</v>
      </c>
      <c r="D48" s="1" t="s">
        <v>811</v>
      </c>
      <c r="E48" s="1" t="s">
        <v>160</v>
      </c>
      <c r="F48" s="1" t="s">
        <v>1010</v>
      </c>
      <c r="G48" s="1" t="s">
        <v>1074</v>
      </c>
      <c r="H48">
        <f>IF(ISNUMBER(SEARCH("Voiceless",A48)),0, IF(ISNUMBER(SEARCH("Voiced",A48)),1,""))</f>
        <v>1</v>
      </c>
      <c r="I48" t="str">
        <f>TRIM(LEFT(RIGHT(" "&amp;SUBSTITUTE(TRIM(A48)," ",REPT(" ",60)),120),60))</f>
        <v>alveopalatal</v>
      </c>
      <c r="J48" t="str">
        <f>TRIM(RIGHT(SUBSTITUTE(A48," ",REPT(" ",100)),100))</f>
        <v>fricative</v>
      </c>
      <c r="K48" t="str">
        <f>IF(ISNUMBER(SEARCH("Flap",A48)),1,"")</f>
        <v/>
      </c>
      <c r="L48" t="str">
        <f>IF(ISNUMBER(SEARCH("Lateral",A48)),1,"")</f>
        <v/>
      </c>
      <c r="O48">
        <f t="shared" si="0"/>
        <v>4</v>
      </c>
      <c r="X48" s="3"/>
    </row>
    <row r="49" spans="1:24" x14ac:dyDescent="0.35">
      <c r="A49" s="1" t="s">
        <v>161</v>
      </c>
      <c r="B49" s="1" t="s">
        <v>162</v>
      </c>
      <c r="C49" s="1" t="s">
        <v>812</v>
      </c>
      <c r="D49" s="1" t="s">
        <v>812</v>
      </c>
      <c r="E49" s="1" t="s">
        <v>163</v>
      </c>
      <c r="F49" s="1" t="s">
        <v>1010</v>
      </c>
      <c r="G49" s="1" t="s">
        <v>1074</v>
      </c>
      <c r="H49">
        <f>IF(ISNUMBER(SEARCH("Voiceless",A49)),0, IF(ISNUMBER(SEARCH("Voiced",A49)),1,""))</f>
        <v>0</v>
      </c>
      <c r="I49" t="str">
        <f>TRIM(LEFT(RIGHT(" "&amp;SUBSTITUTE(TRIM(A49)," ",REPT(" ",60)),120),60))</f>
        <v>velar</v>
      </c>
      <c r="J49" t="str">
        <f>TRIM(RIGHT(SUBSTITUTE(A49," ",REPT(" ",100)),100))</f>
        <v>fricative</v>
      </c>
      <c r="K49" t="str">
        <f>IF(ISNUMBER(SEARCH("Flap",A49)),1,"")</f>
        <v/>
      </c>
      <c r="L49" t="str">
        <f>IF(ISNUMBER(SEARCH("Lateral",A49)),1,"")</f>
        <v/>
      </c>
      <c r="O49">
        <f t="shared" si="0"/>
        <v>3</v>
      </c>
      <c r="X49" s="3"/>
    </row>
    <row r="50" spans="1:24" x14ac:dyDescent="0.35">
      <c r="A50" s="1" t="s">
        <v>164</v>
      </c>
      <c r="B50" s="1" t="s">
        <v>165</v>
      </c>
      <c r="C50" s="1" t="s">
        <v>813</v>
      </c>
      <c r="D50" s="1" t="s">
        <v>813</v>
      </c>
      <c r="E50" s="1" t="s">
        <v>166</v>
      </c>
      <c r="F50" s="1" t="s">
        <v>1010</v>
      </c>
      <c r="G50" s="1" t="s">
        <v>1074</v>
      </c>
      <c r="H50">
        <f>IF(ISNUMBER(SEARCH("Voiceless",A50)),0, IF(ISNUMBER(SEARCH("Voiced",A50)),1,""))</f>
        <v>0</v>
      </c>
      <c r="I50" t="str">
        <f>TRIM(LEFT(RIGHT(" "&amp;SUBSTITUTE(TRIM(A50)," ",REPT(" ",60)),120),60))</f>
        <v>epiglottal</v>
      </c>
      <c r="J50" t="str">
        <f>TRIM(RIGHT(SUBSTITUTE(A50," ",REPT(" ",100)),100))</f>
        <v>fricative</v>
      </c>
      <c r="K50" t="str">
        <f>IF(ISNUMBER(SEARCH("Flap",A50)),1,"")</f>
        <v/>
      </c>
      <c r="L50" t="str">
        <f>IF(ISNUMBER(SEARCH("Lateral",A50)),1,"")</f>
        <v/>
      </c>
      <c r="O50">
        <f t="shared" si="0"/>
        <v>3</v>
      </c>
      <c r="X50" s="3"/>
    </row>
    <row r="51" spans="1:24" x14ac:dyDescent="0.35">
      <c r="A51" s="1" t="s">
        <v>167</v>
      </c>
      <c r="B51" s="1" t="s">
        <v>168</v>
      </c>
      <c r="C51" s="1" t="s">
        <v>814</v>
      </c>
      <c r="D51" s="1" t="s">
        <v>814</v>
      </c>
      <c r="E51" s="1" t="s">
        <v>169</v>
      </c>
      <c r="F51" s="1" t="s">
        <v>1010</v>
      </c>
      <c r="G51" s="1" t="s">
        <v>1074</v>
      </c>
      <c r="H51">
        <f>IF(ISNUMBER(SEARCH("Voiceless",A51)),0, IF(ISNUMBER(SEARCH("Voiced",A51)),1,""))</f>
        <v>1</v>
      </c>
      <c r="I51" t="str">
        <f>TRIM(LEFT(RIGHT(" "&amp;SUBSTITUTE(TRIM(A51)," ",REPT(" ",60)),120),60))</f>
        <v>epiglottal</v>
      </c>
      <c r="J51" t="str">
        <f>TRIM(RIGHT(SUBSTITUTE(A51," ",REPT(" ",100)),100))</f>
        <v>fricative</v>
      </c>
      <c r="K51" t="str">
        <f>IF(ISNUMBER(SEARCH("Flap",A51)),1,"")</f>
        <v/>
      </c>
      <c r="L51" t="str">
        <f>IF(ISNUMBER(SEARCH("Lateral",A51)),1,"")</f>
        <v/>
      </c>
      <c r="O51">
        <f t="shared" si="0"/>
        <v>4</v>
      </c>
      <c r="X51" s="3"/>
    </row>
    <row r="52" spans="1:24" x14ac:dyDescent="0.35">
      <c r="A52" s="1" t="s">
        <v>170</v>
      </c>
      <c r="B52" s="1" t="s">
        <v>171</v>
      </c>
      <c r="C52" s="1" t="s">
        <v>815</v>
      </c>
      <c r="D52" s="1" t="s">
        <v>815</v>
      </c>
      <c r="E52" s="1" t="s">
        <v>172</v>
      </c>
      <c r="F52" s="1" t="s">
        <v>1010</v>
      </c>
      <c r="G52" s="1" t="s">
        <v>1074</v>
      </c>
      <c r="H52">
        <f>IF(ISNUMBER(SEARCH("Voiceless",A52)),0, IF(ISNUMBER(SEARCH("Voiced",A52)),1,""))</f>
        <v>0</v>
      </c>
      <c r="I52" t="str">
        <f>TRIM(LEFT(RIGHT(" "&amp;SUBSTITUTE(TRIM(A52)," ",REPT(" ",60)),120),60))</f>
        <v>alveolar</v>
      </c>
      <c r="J52" t="str">
        <f>TRIM(RIGHT(SUBSTITUTE(A52," ",REPT(" ",100)),100))</f>
        <v>affricate</v>
      </c>
      <c r="K52" t="str">
        <f>IF(ISNUMBER(SEARCH("Flap",A52)),1,"")</f>
        <v/>
      </c>
      <c r="L52" t="str">
        <f>IF(ISNUMBER(SEARCH("Lateral",A52)),1,"")</f>
        <v/>
      </c>
      <c r="O52">
        <f t="shared" si="0"/>
        <v>2</v>
      </c>
      <c r="X52" s="3"/>
    </row>
    <row r="53" spans="1:24" x14ac:dyDescent="0.35">
      <c r="A53" s="1" t="s">
        <v>173</v>
      </c>
      <c r="B53" s="1" t="s">
        <v>174</v>
      </c>
      <c r="C53" s="1" t="s">
        <v>816</v>
      </c>
      <c r="D53" s="1" t="s">
        <v>816</v>
      </c>
      <c r="E53" s="1" t="s">
        <v>175</v>
      </c>
      <c r="F53" s="1" t="s">
        <v>1010</v>
      </c>
      <c r="G53" s="1" t="s">
        <v>1074</v>
      </c>
      <c r="H53">
        <f>IF(ISNUMBER(SEARCH("Voiceless",A53)),0, IF(ISNUMBER(SEARCH("Voiced",A53)),1,""))</f>
        <v>1</v>
      </c>
      <c r="I53" t="str">
        <f>TRIM(LEFT(RIGHT(" "&amp;SUBSTITUTE(TRIM(A53)," ",REPT(" ",60)),120),60))</f>
        <v>alveolar</v>
      </c>
      <c r="J53" t="str">
        <f>TRIM(RIGHT(SUBSTITUTE(A53," ",REPT(" ",100)),100))</f>
        <v>affricate</v>
      </c>
      <c r="K53" t="str">
        <f>IF(ISNUMBER(SEARCH("Flap",A53)),1,"")</f>
        <v/>
      </c>
      <c r="L53" t="str">
        <f>IF(ISNUMBER(SEARCH("Lateral",A53)),1,"")</f>
        <v/>
      </c>
      <c r="O53">
        <f t="shared" si="0"/>
        <v>3</v>
      </c>
      <c r="X53" s="3"/>
    </row>
    <row r="54" spans="1:24" x14ac:dyDescent="0.35">
      <c r="A54" s="1" t="s">
        <v>176</v>
      </c>
      <c r="B54" s="1" t="s">
        <v>177</v>
      </c>
      <c r="C54" s="1" t="s">
        <v>817</v>
      </c>
      <c r="D54" s="1" t="s">
        <v>817</v>
      </c>
      <c r="E54" s="1" t="s">
        <v>178</v>
      </c>
      <c r="F54" s="1" t="s">
        <v>1010</v>
      </c>
      <c r="G54" s="1" t="s">
        <v>1074</v>
      </c>
      <c r="H54">
        <f>IF(ISNUMBER(SEARCH("Voiceless",A54)),0, IF(ISNUMBER(SEARCH("Voiced",A54)),1,""))</f>
        <v>0</v>
      </c>
      <c r="I54" t="str">
        <f>TRIM(LEFT(RIGHT(" "&amp;SUBSTITUTE(TRIM(A54)," ",REPT(" ",60)),120),60))</f>
        <v>alveopalatal</v>
      </c>
      <c r="J54" t="str">
        <f>TRIM(RIGHT(SUBSTITUTE(A54," ",REPT(" ",100)),100))</f>
        <v>affricate</v>
      </c>
      <c r="K54" t="str">
        <f>IF(ISNUMBER(SEARCH("Flap",A54)),1,"")</f>
        <v/>
      </c>
      <c r="L54" t="str">
        <f>IF(ISNUMBER(SEARCH("Lateral",A54)),1,"")</f>
        <v/>
      </c>
      <c r="O54">
        <f t="shared" si="0"/>
        <v>2</v>
      </c>
      <c r="X54" s="3" t="s">
        <v>1071</v>
      </c>
    </row>
    <row r="55" spans="1:24" x14ac:dyDescent="0.35">
      <c r="A55" s="1" t="s">
        <v>179</v>
      </c>
      <c r="B55" s="1" t="s">
        <v>180</v>
      </c>
      <c r="C55" s="1" t="s">
        <v>818</v>
      </c>
      <c r="D55" s="1" t="s">
        <v>818</v>
      </c>
      <c r="E55" s="1" t="s">
        <v>181</v>
      </c>
      <c r="F55" s="1" t="s">
        <v>1010</v>
      </c>
      <c r="G55" s="1" t="s">
        <v>1074</v>
      </c>
      <c r="H55">
        <f>IF(ISNUMBER(SEARCH("Voiceless",A55)),0, IF(ISNUMBER(SEARCH("Voiced",A55)),1,""))</f>
        <v>1</v>
      </c>
      <c r="I55" t="str">
        <f>TRIM(LEFT(RIGHT(" "&amp;SUBSTITUTE(TRIM(A55)," ",REPT(" ",60)),120),60))</f>
        <v>alveopalatal</v>
      </c>
      <c r="J55" t="str">
        <f>TRIM(RIGHT(SUBSTITUTE(A55," ",REPT(" ",100)),100))</f>
        <v>affricate</v>
      </c>
      <c r="K55" t="str">
        <f>IF(ISNUMBER(SEARCH("Flap",A55)),1,"")</f>
        <v/>
      </c>
      <c r="L55" t="str">
        <f>IF(ISNUMBER(SEARCH("Lateral",A55)),1,"")</f>
        <v/>
      </c>
      <c r="O55">
        <f t="shared" si="0"/>
        <v>3</v>
      </c>
      <c r="X55" s="3" t="s">
        <v>1071</v>
      </c>
    </row>
    <row r="56" spans="1:24" x14ac:dyDescent="0.35">
      <c r="A56" s="1" t="s">
        <v>182</v>
      </c>
      <c r="B56" s="1" t="s">
        <v>183</v>
      </c>
      <c r="C56" s="1" t="s">
        <v>819</v>
      </c>
      <c r="D56" s="1" t="s">
        <v>819</v>
      </c>
      <c r="E56" s="1" t="s">
        <v>184</v>
      </c>
      <c r="F56" s="1" t="s">
        <v>1010</v>
      </c>
      <c r="G56" s="1" t="s">
        <v>1074</v>
      </c>
      <c r="H56">
        <f>IF(ISNUMBER(SEARCH("Voiceless",A56)),0, IF(ISNUMBER(SEARCH("Voiced",A56)),1,""))</f>
        <v>0</v>
      </c>
      <c r="I56" t="str">
        <f>TRIM(LEFT(RIGHT(" "&amp;SUBSTITUTE(TRIM(A56)," ",REPT(" ",60)),120),60))</f>
        <v>palatal</v>
      </c>
      <c r="J56" t="str">
        <f>TRIM(RIGHT(SUBSTITUTE(A56," ",REPT(" ",100)),100))</f>
        <v>affricate</v>
      </c>
      <c r="K56" t="str">
        <f>IF(ISNUMBER(SEARCH("Flap",A56)),1,"")</f>
        <v/>
      </c>
      <c r="L56" t="str">
        <f>IF(ISNUMBER(SEARCH("Lateral",A56)),1,"")</f>
        <v/>
      </c>
      <c r="O56">
        <f t="shared" si="0"/>
        <v>2</v>
      </c>
      <c r="X56" s="3"/>
    </row>
    <row r="57" spans="1:24" x14ac:dyDescent="0.35">
      <c r="A57" s="1" t="s">
        <v>182</v>
      </c>
      <c r="B57" s="1" t="s">
        <v>185</v>
      </c>
      <c r="C57" s="1" t="s">
        <v>820</v>
      </c>
      <c r="D57" s="1" t="s">
        <v>820</v>
      </c>
      <c r="E57" s="1" t="s">
        <v>186</v>
      </c>
      <c r="F57" s="1" t="s">
        <v>1010</v>
      </c>
      <c r="G57" s="1" t="s">
        <v>1074</v>
      </c>
      <c r="H57">
        <f>IF(ISNUMBER(SEARCH("Voiceless",A57)),0, IF(ISNUMBER(SEARCH("Voiced",A57)),1,""))</f>
        <v>0</v>
      </c>
      <c r="I57" t="str">
        <f>TRIM(LEFT(RIGHT(" "&amp;SUBSTITUTE(TRIM(A57)," ",REPT(" ",60)),120),60))</f>
        <v>palatal</v>
      </c>
      <c r="J57" t="str">
        <f>TRIM(RIGHT(SUBSTITUTE(A57," ",REPT(" ",100)),100))</f>
        <v>affricate</v>
      </c>
      <c r="K57" t="str">
        <f>IF(ISNUMBER(SEARCH("Flap",A57)),1,"")</f>
        <v/>
      </c>
      <c r="L57" t="str">
        <f>IF(ISNUMBER(SEARCH("Lateral",A57)),1,"")</f>
        <v/>
      </c>
      <c r="O57">
        <f t="shared" si="0"/>
        <v>2</v>
      </c>
      <c r="X57" s="3"/>
    </row>
    <row r="58" spans="1:24" x14ac:dyDescent="0.35">
      <c r="A58" s="1" t="s">
        <v>187</v>
      </c>
      <c r="B58" s="1" t="s">
        <v>188</v>
      </c>
      <c r="C58" s="1" t="s">
        <v>821</v>
      </c>
      <c r="D58" s="1" t="s">
        <v>821</v>
      </c>
      <c r="E58" s="1" t="s">
        <v>189</v>
      </c>
      <c r="F58" s="1" t="s">
        <v>1010</v>
      </c>
      <c r="G58" s="1" t="s">
        <v>1074</v>
      </c>
      <c r="H58">
        <f>IF(ISNUMBER(SEARCH("Voiceless",A58)),0, IF(ISNUMBER(SEARCH("Voiced",A58)),1,""))</f>
        <v>0</v>
      </c>
      <c r="I58" t="str">
        <f>TRIM(LEFT(RIGHT(" "&amp;SUBSTITUTE(TRIM(A58)," ",REPT(" ",60)),120),60))</f>
        <v>lateral</v>
      </c>
      <c r="J58" t="str">
        <f>TRIM(RIGHT(SUBSTITUTE(A58," ",REPT(" ",100)),100))</f>
        <v>affricate</v>
      </c>
      <c r="K58" t="str">
        <f>IF(ISNUMBER(SEARCH("Flap",A58)),1,"")</f>
        <v/>
      </c>
      <c r="L58">
        <f>IF(ISNUMBER(SEARCH("Lateral",A58)),1,"")</f>
        <v>1</v>
      </c>
      <c r="O58">
        <f t="shared" si="0"/>
        <v>2</v>
      </c>
      <c r="X58" s="3"/>
    </row>
    <row r="59" spans="1:24" x14ac:dyDescent="0.35">
      <c r="A59" s="1" t="s">
        <v>190</v>
      </c>
      <c r="B59" s="1" t="s">
        <v>191</v>
      </c>
      <c r="C59" s="1" t="s">
        <v>822</v>
      </c>
      <c r="D59" s="1" t="s">
        <v>822</v>
      </c>
      <c r="E59" s="1" t="s">
        <v>192</v>
      </c>
      <c r="F59" s="1" t="s">
        <v>1010</v>
      </c>
      <c r="G59" s="1" t="s">
        <v>1074</v>
      </c>
      <c r="H59">
        <f>IF(ISNUMBER(SEARCH("Voiceless",A59)),0, IF(ISNUMBER(SEARCH("Voiced",A59)),1,""))</f>
        <v>1</v>
      </c>
      <c r="I59" t="str">
        <f>TRIM(LEFT(RIGHT(" "&amp;SUBSTITUTE(TRIM(A59)," ",REPT(" ",60)),120),60))</f>
        <v>lateral</v>
      </c>
      <c r="J59" t="str">
        <f>TRIM(RIGHT(SUBSTITUTE(A59," ",REPT(" ",100)),100))</f>
        <v>affricate</v>
      </c>
      <c r="K59" t="str">
        <f>IF(ISNUMBER(SEARCH("Flap",A59)),1,"")</f>
        <v/>
      </c>
      <c r="L59">
        <f>IF(ISNUMBER(SEARCH("Lateral",A59)),1,"")</f>
        <v>1</v>
      </c>
      <c r="O59">
        <f t="shared" si="0"/>
        <v>3</v>
      </c>
      <c r="X59" s="3"/>
    </row>
    <row r="60" spans="1:24" x14ac:dyDescent="0.35">
      <c r="A60" s="1" t="s">
        <v>193</v>
      </c>
      <c r="B60" s="1" t="s">
        <v>194</v>
      </c>
      <c r="C60" s="1" t="s">
        <v>823</v>
      </c>
      <c r="D60" s="1" t="s">
        <v>823</v>
      </c>
      <c r="E60" s="1" t="s">
        <v>195</v>
      </c>
      <c r="F60" s="1" t="s">
        <v>1010</v>
      </c>
      <c r="G60" s="1" t="s">
        <v>1074</v>
      </c>
      <c r="H60">
        <f>IF(ISNUMBER(SEARCH("Voiceless",A60)),0, IF(ISNUMBER(SEARCH("Voiced",A60)),1,""))</f>
        <v>1</v>
      </c>
      <c r="I60" t="str">
        <f>TRIM(LEFT(RIGHT(" "&amp;SUBSTITUTE(TRIM(A60)," ",REPT(" ",60)),120),60))</f>
        <v>bilabial</v>
      </c>
      <c r="J60" t="str">
        <f>TRIM(RIGHT(SUBSTITUTE(A60," ",REPT(" ",100)),100))</f>
        <v>trill</v>
      </c>
      <c r="K60" t="str">
        <f>IF(ISNUMBER(SEARCH("Flap",A60)),1,"")</f>
        <v/>
      </c>
      <c r="L60" t="str">
        <f>IF(ISNUMBER(SEARCH("Lateral",A60)),1,"")</f>
        <v/>
      </c>
      <c r="N60">
        <v>1</v>
      </c>
      <c r="O60">
        <f t="shared" si="0"/>
        <v>7</v>
      </c>
      <c r="X60" s="3"/>
    </row>
    <row r="61" spans="1:24" x14ac:dyDescent="0.35">
      <c r="A61" s="1" t="s">
        <v>196</v>
      </c>
      <c r="B61" s="1" t="s">
        <v>197</v>
      </c>
      <c r="C61" s="1" t="s">
        <v>824</v>
      </c>
      <c r="D61" s="1" t="s">
        <v>824</v>
      </c>
      <c r="E61" s="1" t="s">
        <v>198</v>
      </c>
      <c r="F61" s="1" t="s">
        <v>1010</v>
      </c>
      <c r="G61" s="1" t="s">
        <v>1074</v>
      </c>
      <c r="H61">
        <f>IF(ISNUMBER(SEARCH("Voiceless",A61)),0, IF(ISNUMBER(SEARCH("Voiced",A61)),1,""))</f>
        <v>1</v>
      </c>
      <c r="I61" t="str">
        <f>TRIM(LEFT(RIGHT(" "&amp;SUBSTITUTE(TRIM(A61)," ",REPT(" ",60)),120),60))</f>
        <v>labial</v>
      </c>
      <c r="J61" t="str">
        <f>TRIM(RIGHT(SUBSTITUTE(A61," ",REPT(" ",100)),100))</f>
        <v>flap</v>
      </c>
      <c r="K61">
        <f>IF(ISNUMBER(SEARCH("Flap",A61)),1,"")</f>
        <v>1</v>
      </c>
      <c r="L61" t="str">
        <f>IF(ISNUMBER(SEARCH("Lateral",A61)),1,"")</f>
        <v/>
      </c>
      <c r="M61">
        <v>1</v>
      </c>
      <c r="O61">
        <f t="shared" si="0"/>
        <v>6</v>
      </c>
      <c r="X61" s="3"/>
    </row>
    <row r="62" spans="1:24" x14ac:dyDescent="0.35">
      <c r="A62" s="1" t="s">
        <v>199</v>
      </c>
      <c r="B62" s="1" t="s">
        <v>200</v>
      </c>
      <c r="C62" s="1" t="s">
        <v>825</v>
      </c>
      <c r="D62" s="1" t="s">
        <v>825</v>
      </c>
      <c r="E62" s="1" t="s">
        <v>201</v>
      </c>
      <c r="F62" s="1" t="s">
        <v>1010</v>
      </c>
      <c r="G62" s="1" t="s">
        <v>1074</v>
      </c>
      <c r="H62">
        <f>IF(ISNUMBER(SEARCH("Voiceless",A62)),0, IF(ISNUMBER(SEARCH("Voiced",A62)),1,""))</f>
        <v>1</v>
      </c>
      <c r="I62" t="str">
        <f>TRIM(LEFT(RIGHT(" "&amp;SUBSTITUTE(TRIM(A62)," ",REPT(" ",60)),120),60))</f>
        <v>alveolar</v>
      </c>
      <c r="J62" t="str">
        <f>TRIM(RIGHT(SUBSTITUTE(A62," ",REPT(" ",100)),100))</f>
        <v>flap</v>
      </c>
      <c r="K62">
        <f>IF(ISNUMBER(SEARCH("Flap",A62)),1,"")</f>
        <v>1</v>
      </c>
      <c r="L62" t="str">
        <f>IF(ISNUMBER(SEARCH("Lateral",A62)),1,"")</f>
        <v/>
      </c>
      <c r="M62">
        <v>1</v>
      </c>
      <c r="O62">
        <f t="shared" si="0"/>
        <v>6</v>
      </c>
      <c r="W62">
        <v>1</v>
      </c>
      <c r="X62" s="3"/>
    </row>
    <row r="63" spans="1:24" x14ac:dyDescent="0.35">
      <c r="A63" s="1" t="s">
        <v>202</v>
      </c>
      <c r="B63" s="1" t="s">
        <v>203</v>
      </c>
      <c r="C63" s="1" t="s">
        <v>204</v>
      </c>
      <c r="D63" s="1" t="s">
        <v>204</v>
      </c>
      <c r="E63" s="1" t="s">
        <v>205</v>
      </c>
      <c r="F63" s="1" t="s">
        <v>1010</v>
      </c>
      <c r="G63" s="1" t="s">
        <v>1074</v>
      </c>
      <c r="H63">
        <f>IF(ISNUMBER(SEARCH("Voiceless",A63)),0, IF(ISNUMBER(SEARCH("Voiced",A63)),1,""))</f>
        <v>1</v>
      </c>
      <c r="I63" t="str">
        <f>TRIM(LEFT(RIGHT(" "&amp;SUBSTITUTE(TRIM(A63)," ",REPT(" ",60)),120),60))</f>
        <v>alveolar</v>
      </c>
      <c r="J63" t="str">
        <f>TRIM(RIGHT(SUBSTITUTE(A63," ",REPT(" ",100)),100))</f>
        <v>trill</v>
      </c>
      <c r="K63" t="str">
        <f>IF(ISNUMBER(SEARCH("Flap",A63)),1,"")</f>
        <v/>
      </c>
      <c r="L63" t="str">
        <f>IF(ISNUMBER(SEARCH("Lateral",A63)),1,"")</f>
        <v/>
      </c>
      <c r="M63">
        <v>1</v>
      </c>
      <c r="O63">
        <f t="shared" si="0"/>
        <v>6</v>
      </c>
      <c r="W63">
        <v>1</v>
      </c>
      <c r="X63" s="3"/>
    </row>
    <row r="64" spans="1:24" x14ac:dyDescent="0.35">
      <c r="A64" s="1" t="s">
        <v>206</v>
      </c>
      <c r="B64" s="1" t="s">
        <v>207</v>
      </c>
      <c r="C64" s="1" t="s">
        <v>826</v>
      </c>
      <c r="D64" s="1" t="s">
        <v>826</v>
      </c>
      <c r="E64" s="1" t="s">
        <v>208</v>
      </c>
      <c r="F64" s="1" t="s">
        <v>1010</v>
      </c>
      <c r="G64" s="1" t="s">
        <v>1074</v>
      </c>
      <c r="H64">
        <f>IF(ISNUMBER(SEARCH("Voiceless",A64)),0, IF(ISNUMBER(SEARCH("Voiced",A64)),1,""))</f>
        <v>1</v>
      </c>
      <c r="I64" t="str">
        <f>TRIM(LEFT(RIGHT(" "&amp;SUBSTITUTE(TRIM(A64)," ",REPT(" ",60)),120),60))</f>
        <v>alveolar</v>
      </c>
      <c r="J64" t="str">
        <f>TRIM(RIGHT(SUBSTITUTE(A64," ",REPT(" ",100)),100))</f>
        <v>approximant</v>
      </c>
      <c r="K64" t="str">
        <f>IF(ISNUMBER(SEARCH("Flap",A64)),1,"")</f>
        <v/>
      </c>
      <c r="L64" t="str">
        <f>IF(ISNUMBER(SEARCH("Lateral",A64)),1,"")</f>
        <v/>
      </c>
      <c r="M64">
        <v>1</v>
      </c>
      <c r="O64">
        <f t="shared" si="0"/>
        <v>6</v>
      </c>
      <c r="W64">
        <v>1</v>
      </c>
      <c r="X64" s="3" t="s">
        <v>1071</v>
      </c>
    </row>
    <row r="65" spans="1:24" x14ac:dyDescent="0.35">
      <c r="A65" s="1" t="s">
        <v>209</v>
      </c>
      <c r="B65" s="1" t="s">
        <v>210</v>
      </c>
      <c r="C65" s="1" t="s">
        <v>827</v>
      </c>
      <c r="D65" s="1" t="s">
        <v>827</v>
      </c>
      <c r="E65" s="1" t="s">
        <v>211</v>
      </c>
      <c r="F65" s="1" t="s">
        <v>1010</v>
      </c>
      <c r="G65" s="1" t="s">
        <v>1074</v>
      </c>
      <c r="H65">
        <f>IF(ISNUMBER(SEARCH("Voiceless",A65)),0, IF(ISNUMBER(SEARCH("Voiced",A65)),1,""))</f>
        <v>1</v>
      </c>
      <c r="I65" t="str">
        <f>TRIM(LEFT(RIGHT(" "&amp;SUBSTITUTE(TRIM(A65)," ",REPT(" ",60)),120),60))</f>
        <v>retroflex</v>
      </c>
      <c r="J65" t="str">
        <f>TRIM(RIGHT(SUBSTITUTE(A65," ",REPT(" ",100)),100))</f>
        <v>flap</v>
      </c>
      <c r="K65">
        <f>IF(ISNUMBER(SEARCH("Flap",A65)),1,"")</f>
        <v>1</v>
      </c>
      <c r="L65" t="str">
        <f>IF(ISNUMBER(SEARCH("Lateral",A65)),1,"")</f>
        <v/>
      </c>
      <c r="M65">
        <v>1</v>
      </c>
      <c r="O65">
        <f t="shared" si="0"/>
        <v>6</v>
      </c>
      <c r="W65">
        <v>1</v>
      </c>
      <c r="X65" s="3"/>
    </row>
    <row r="66" spans="1:24" x14ac:dyDescent="0.35">
      <c r="A66" s="1" t="s">
        <v>212</v>
      </c>
      <c r="B66" s="1" t="s">
        <v>213</v>
      </c>
      <c r="C66" s="1" t="s">
        <v>828</v>
      </c>
      <c r="D66" s="1" t="s">
        <v>828</v>
      </c>
      <c r="E66" s="1" t="s">
        <v>214</v>
      </c>
      <c r="F66" s="1" t="s">
        <v>1010</v>
      </c>
      <c r="G66" s="1" t="s">
        <v>1074</v>
      </c>
      <c r="H66">
        <f>IF(ISNUMBER(SEARCH("Voiceless",A66)),0, IF(ISNUMBER(SEARCH("Voiced",A66)),1,""))</f>
        <v>1</v>
      </c>
      <c r="I66" t="str">
        <f>TRIM(LEFT(RIGHT(" "&amp;SUBSTITUTE(TRIM(A66)," ",REPT(" ",60)),120),60))</f>
        <v>retroflex</v>
      </c>
      <c r="J66" t="str">
        <f>TRIM(RIGHT(SUBSTITUTE(A66," ",REPT(" ",100)),100))</f>
        <v>approximant</v>
      </c>
      <c r="K66" t="str">
        <f>IF(ISNUMBER(SEARCH("Flap",A66)),1,"")</f>
        <v/>
      </c>
      <c r="L66" t="str">
        <f>IF(ISNUMBER(SEARCH("Lateral",A66)),1,"")</f>
        <v/>
      </c>
      <c r="M66">
        <v>1</v>
      </c>
      <c r="O66">
        <f t="shared" si="0"/>
        <v>6</v>
      </c>
      <c r="W66">
        <v>1</v>
      </c>
      <c r="X66" s="3"/>
    </row>
    <row r="67" spans="1:24" x14ac:dyDescent="0.35">
      <c r="A67" s="1" t="s">
        <v>215</v>
      </c>
      <c r="B67" s="1" t="s">
        <v>216</v>
      </c>
      <c r="C67" s="1" t="s">
        <v>829</v>
      </c>
      <c r="D67" s="1" t="s">
        <v>829</v>
      </c>
      <c r="E67" s="1" t="s">
        <v>217</v>
      </c>
      <c r="F67" s="1" t="s">
        <v>1010</v>
      </c>
      <c r="G67" s="1" t="s">
        <v>1074</v>
      </c>
      <c r="H67">
        <f>IF(ISNUMBER(SEARCH("Voiceless",A67)),0, IF(ISNUMBER(SEARCH("Voiced",A67)),1,""))</f>
        <v>1</v>
      </c>
      <c r="I67" t="str">
        <f>TRIM(LEFT(RIGHT(" "&amp;SUBSTITUTE(TRIM(A67)," ",REPT(" ",60)),120),60))</f>
        <v>uvular</v>
      </c>
      <c r="J67" t="str">
        <f>TRIM(RIGHT(SUBSTITUTE(A67," ",REPT(" ",100)),100))</f>
        <v>trill</v>
      </c>
      <c r="K67" t="str">
        <f>IF(ISNUMBER(SEARCH("Flap",A67)),1,"")</f>
        <v/>
      </c>
      <c r="L67" t="str">
        <f>IF(ISNUMBER(SEARCH("Lateral",A67)),1,"")</f>
        <v/>
      </c>
      <c r="M67">
        <v>1</v>
      </c>
      <c r="O67">
        <f t="shared" ref="O67:O78" si="1">IF(H67=0, IF(J67="stop", 1, IF(J67="fricative", 3, IF(J67="affricate", 2))), IF(H67=1, IF(J67="stop", 2, IF(J67="fricative", 4, IF(J67="affricate", 3, IF(J67="nasal", 5, IF(M67=1, 6, IF(N67=1, 7, IF(F67="Vowel", 8)))))))))</f>
        <v>6</v>
      </c>
      <c r="W67">
        <v>1</v>
      </c>
      <c r="X67" s="3"/>
    </row>
    <row r="68" spans="1:24" x14ac:dyDescent="0.35">
      <c r="A68" s="1" t="s">
        <v>218</v>
      </c>
      <c r="B68" s="1" t="s">
        <v>219</v>
      </c>
      <c r="C68" s="1" t="s">
        <v>830</v>
      </c>
      <c r="D68" s="1" t="s">
        <v>830</v>
      </c>
      <c r="E68" s="1" t="s">
        <v>220</v>
      </c>
      <c r="F68" s="1" t="s">
        <v>1010</v>
      </c>
      <c r="G68" s="1" t="s">
        <v>1074</v>
      </c>
      <c r="H68">
        <f>IF(ISNUMBER(SEARCH("Voiceless",A68)),0, IF(ISNUMBER(SEARCH("Voiced",A68)),1,""))</f>
        <v>1</v>
      </c>
      <c r="I68" t="str">
        <f>TRIM(LEFT(RIGHT(" "&amp;SUBSTITUTE(TRIM(A68)," ",REPT(" ",60)),120),60))</f>
        <v>lateral</v>
      </c>
      <c r="J68" t="str">
        <f>TRIM(RIGHT(SUBSTITUTE(A68," ",REPT(" ",100)),100))</f>
        <v>flap</v>
      </c>
      <c r="K68">
        <f>IF(ISNUMBER(SEARCH("Flap",A68)),1,"")</f>
        <v>1</v>
      </c>
      <c r="L68">
        <f>IF(ISNUMBER(SEARCH("Lateral",A68)),1,"")</f>
        <v>1</v>
      </c>
      <c r="M68">
        <v>1</v>
      </c>
      <c r="O68">
        <f t="shared" si="1"/>
        <v>6</v>
      </c>
      <c r="X68" s="3"/>
    </row>
    <row r="69" spans="1:24" x14ac:dyDescent="0.35">
      <c r="A69" s="1" t="s">
        <v>221</v>
      </c>
      <c r="B69" s="1" t="s">
        <v>222</v>
      </c>
      <c r="C69" s="1" t="s">
        <v>223</v>
      </c>
      <c r="D69" s="1" t="s">
        <v>223</v>
      </c>
      <c r="E69" s="1" t="s">
        <v>224</v>
      </c>
      <c r="F69" s="1" t="s">
        <v>1010</v>
      </c>
      <c r="G69" s="1" t="s">
        <v>1074</v>
      </c>
      <c r="H69">
        <f>IF(ISNUMBER(SEARCH("Voiceless",A69)),0, IF(ISNUMBER(SEARCH("Voiced",A69)),1,""))</f>
        <v>1</v>
      </c>
      <c r="I69" t="str">
        <f>TRIM(LEFT(RIGHT(" "&amp;SUBSTITUTE(TRIM(A69)," ",REPT(" ",60)),120),60))</f>
        <v>lateral</v>
      </c>
      <c r="J69" t="str">
        <f>TRIM(RIGHT(SUBSTITUTE(A69," ",REPT(" ",100)),100))</f>
        <v>approximant</v>
      </c>
      <c r="K69" t="str">
        <f>IF(ISNUMBER(SEARCH("Flap",A69)),1,"")</f>
        <v/>
      </c>
      <c r="L69">
        <f>IF(ISNUMBER(SEARCH("Lateral",A69)),1,"")</f>
        <v>1</v>
      </c>
      <c r="M69">
        <v>1</v>
      </c>
      <c r="O69">
        <f t="shared" si="1"/>
        <v>6</v>
      </c>
      <c r="X69" s="3" t="s">
        <v>1071</v>
      </c>
    </row>
    <row r="70" spans="1:24" x14ac:dyDescent="0.35">
      <c r="A70" s="1" t="s">
        <v>225</v>
      </c>
      <c r="B70" s="1" t="s">
        <v>226</v>
      </c>
      <c r="C70" s="1" t="s">
        <v>831</v>
      </c>
      <c r="D70" s="1" t="s">
        <v>831</v>
      </c>
      <c r="E70" s="1" t="s">
        <v>227</v>
      </c>
      <c r="F70" s="1" t="s">
        <v>1010</v>
      </c>
      <c r="G70" s="1" t="s">
        <v>1074</v>
      </c>
      <c r="H70">
        <v>1</v>
      </c>
      <c r="I70" t="str">
        <f>TRIM(LEFT(RIGHT(" "&amp;SUBSTITUTE(TRIM(A70)," ",REPT(" ",60)),120),60))</f>
        <v>lateral</v>
      </c>
      <c r="J70" t="str">
        <f>TRIM(RIGHT(SUBSTITUTE(A70," ",REPT(" ",100)),100))</f>
        <v>approximant</v>
      </c>
      <c r="K70" t="str">
        <f>IF(ISNUMBER(SEARCH("Flap",A70)),1,"")</f>
        <v/>
      </c>
      <c r="L70">
        <f>IF(ISNUMBER(SEARCH("Lateral",A70)),1,"")</f>
        <v>1</v>
      </c>
      <c r="M70">
        <v>1</v>
      </c>
      <c r="O70">
        <f t="shared" si="1"/>
        <v>6</v>
      </c>
      <c r="X70" s="3"/>
    </row>
    <row r="71" spans="1:24" x14ac:dyDescent="0.35">
      <c r="A71" s="1" t="s">
        <v>228</v>
      </c>
      <c r="B71" s="1" t="s">
        <v>229</v>
      </c>
      <c r="C71" s="1" t="s">
        <v>832</v>
      </c>
      <c r="D71" s="1" t="s">
        <v>832</v>
      </c>
      <c r="E71" s="1" t="s">
        <v>230</v>
      </c>
      <c r="F71" s="1" t="s">
        <v>1010</v>
      </c>
      <c r="G71" s="1" t="s">
        <v>1074</v>
      </c>
      <c r="H71">
        <f>IF(ISNUMBER(SEARCH("Voiceless",A71)),0, IF(ISNUMBER(SEARCH("Voiced",A71)),1,""))</f>
        <v>1</v>
      </c>
      <c r="I71" t="str">
        <f>TRIM(LEFT(RIGHT(" "&amp;SUBSTITUTE(TRIM(A71)," ",REPT(" ",60)),120),60))</f>
        <v>lateral</v>
      </c>
      <c r="J71" t="str">
        <f>TRIM(RIGHT(SUBSTITUTE(A71," ",REPT(" ",100)),100))</f>
        <v>approximant</v>
      </c>
      <c r="K71" t="str">
        <f>IF(ISNUMBER(SEARCH("Flap",A71)),1,"")</f>
        <v/>
      </c>
      <c r="L71">
        <f>IF(ISNUMBER(SEARCH("Lateral",A71)),1,"")</f>
        <v>1</v>
      </c>
      <c r="M71">
        <v>1</v>
      </c>
      <c r="O71">
        <f t="shared" si="1"/>
        <v>6</v>
      </c>
      <c r="X71" s="3"/>
    </row>
    <row r="72" spans="1:24" x14ac:dyDescent="0.35">
      <c r="A72" s="1" t="s">
        <v>231</v>
      </c>
      <c r="B72" s="1" t="s">
        <v>232</v>
      </c>
      <c r="C72" s="1" t="s">
        <v>833</v>
      </c>
      <c r="D72" s="1" t="s">
        <v>833</v>
      </c>
      <c r="E72" s="1" t="s">
        <v>233</v>
      </c>
      <c r="F72" s="1" t="s">
        <v>1010</v>
      </c>
      <c r="G72" s="1" t="s">
        <v>1074</v>
      </c>
      <c r="H72">
        <f>IF(ISNUMBER(SEARCH("Voiceless",A72)),0, IF(ISNUMBER(SEARCH("Voiced",A72)),1,""))</f>
        <v>1</v>
      </c>
      <c r="I72" t="str">
        <f>TRIM(LEFT(RIGHT(" "&amp;SUBSTITUTE(TRIM(A72)," ",REPT(" ",60)),120),60))</f>
        <v>lateral</v>
      </c>
      <c r="J72" t="str">
        <f>TRIM(RIGHT(SUBSTITUTE(A72," ",REPT(" ",100)),100))</f>
        <v>approximant</v>
      </c>
      <c r="K72" t="str">
        <f>IF(ISNUMBER(SEARCH("Flap",A72)),1,"")</f>
        <v/>
      </c>
      <c r="L72">
        <f>IF(ISNUMBER(SEARCH("Lateral",A72)),1,"")</f>
        <v>1</v>
      </c>
      <c r="M72">
        <v>1</v>
      </c>
      <c r="O72">
        <f t="shared" si="1"/>
        <v>6</v>
      </c>
      <c r="X72" s="3"/>
    </row>
    <row r="73" spans="1:24" x14ac:dyDescent="0.35">
      <c r="A73" s="1" t="s">
        <v>234</v>
      </c>
      <c r="B73" s="1" t="s">
        <v>235</v>
      </c>
      <c r="C73" s="1" t="s">
        <v>834</v>
      </c>
      <c r="D73" s="1" t="s">
        <v>834</v>
      </c>
      <c r="E73" s="1" t="s">
        <v>236</v>
      </c>
      <c r="F73" s="1" t="s">
        <v>1010</v>
      </c>
      <c r="G73" s="1" t="s">
        <v>1074</v>
      </c>
      <c r="H73">
        <f>IF(ISNUMBER(SEARCH("Voiceless",A73)),0, IF(ISNUMBER(SEARCH("Voiced",A73)),1,""))</f>
        <v>1</v>
      </c>
      <c r="I73" t="str">
        <f>TRIM(LEFT(RIGHT(" "&amp;SUBSTITUTE(TRIM(A73)," ",REPT(" ",60)),120),60))</f>
        <v>lateral</v>
      </c>
      <c r="J73" t="str">
        <f>TRIM(RIGHT(SUBSTITUTE(A73," ",REPT(" ",100)),100))</f>
        <v>approximant</v>
      </c>
      <c r="K73" t="str">
        <f>IF(ISNUMBER(SEARCH("Flap",A73)),1,"")</f>
        <v/>
      </c>
      <c r="L73">
        <f>IF(ISNUMBER(SEARCH("Lateral",A73)),1,"")</f>
        <v>1</v>
      </c>
      <c r="M73">
        <v>1</v>
      </c>
      <c r="O73">
        <f t="shared" si="1"/>
        <v>6</v>
      </c>
      <c r="X73" s="3"/>
    </row>
    <row r="74" spans="1:24" x14ac:dyDescent="0.35">
      <c r="A74" s="1" t="s">
        <v>237</v>
      </c>
      <c r="B74" s="1" t="s">
        <v>238</v>
      </c>
      <c r="C74" s="1" t="s">
        <v>835</v>
      </c>
      <c r="D74" s="1" t="s">
        <v>835</v>
      </c>
      <c r="E74" s="1" t="s">
        <v>239</v>
      </c>
      <c r="F74" s="1" t="s">
        <v>1010</v>
      </c>
      <c r="G74" s="1" t="s">
        <v>1074</v>
      </c>
      <c r="H74">
        <f>IF(ISNUMBER(SEARCH("Voiceless",A74)),0, IF(ISNUMBER(SEARCH("Voiced",A74)),1,""))</f>
        <v>0</v>
      </c>
      <c r="I74" t="str">
        <f>TRIM(LEFT(RIGHT(" "&amp;SUBSTITUTE(TRIM(A74)," ",REPT(" ",60)),120),60))</f>
        <v>labial-velar</v>
      </c>
      <c r="J74" t="str">
        <f>TRIM(RIGHT(SUBSTITUTE(A74," ",REPT(" ",100)),100))</f>
        <v>fricative</v>
      </c>
      <c r="K74" t="str">
        <f>IF(ISNUMBER(SEARCH("Flap",A74)),1,"")</f>
        <v/>
      </c>
      <c r="L74" t="str">
        <f>IF(ISNUMBER(SEARCH("Lateral",A74)),1,"")</f>
        <v/>
      </c>
      <c r="O74">
        <f t="shared" si="1"/>
        <v>3</v>
      </c>
      <c r="X74" s="3"/>
    </row>
    <row r="75" spans="1:24" x14ac:dyDescent="0.35">
      <c r="A75" s="1" t="s">
        <v>240</v>
      </c>
      <c r="B75" s="1" t="s">
        <v>241</v>
      </c>
      <c r="C75" s="1" t="s">
        <v>242</v>
      </c>
      <c r="D75" s="1" t="s">
        <v>242</v>
      </c>
      <c r="E75" s="1" t="s">
        <v>243</v>
      </c>
      <c r="F75" s="1" t="s">
        <v>1010</v>
      </c>
      <c r="G75" s="1" t="s">
        <v>1074</v>
      </c>
      <c r="H75">
        <f>IF(ISNUMBER(SEARCH("Voiceless",A75)),0, IF(ISNUMBER(SEARCH("Voiced",A75)),1,""))</f>
        <v>1</v>
      </c>
      <c r="I75" t="str">
        <f>TRIM(LEFT(RIGHT(" "&amp;SUBSTITUTE(TRIM(A75)," ",REPT(" ",60)),120),60))</f>
        <v>labial-velar</v>
      </c>
      <c r="J75" t="str">
        <f>TRIM(RIGHT(SUBSTITUTE(A75," ",REPT(" ",100)),100))</f>
        <v>approximant</v>
      </c>
      <c r="K75" t="str">
        <f>IF(ISNUMBER(SEARCH("Flap",A75)),1,"")</f>
        <v/>
      </c>
      <c r="L75" t="str">
        <f>IF(ISNUMBER(SEARCH("Lateral",A75)),1,"")</f>
        <v/>
      </c>
      <c r="N75">
        <v>1</v>
      </c>
      <c r="O75">
        <f t="shared" si="1"/>
        <v>7</v>
      </c>
      <c r="X75" s="3" t="s">
        <v>1070</v>
      </c>
    </row>
    <row r="76" spans="1:24" x14ac:dyDescent="0.35">
      <c r="A76" s="1" t="s">
        <v>244</v>
      </c>
      <c r="B76" s="1" t="s">
        <v>245</v>
      </c>
      <c r="C76" s="1" t="s">
        <v>836</v>
      </c>
      <c r="D76" s="1" t="s">
        <v>836</v>
      </c>
      <c r="E76" s="1" t="s">
        <v>246</v>
      </c>
      <c r="F76" s="1" t="s">
        <v>1010</v>
      </c>
      <c r="G76" s="1" t="s">
        <v>1074</v>
      </c>
      <c r="H76">
        <f>IF(ISNUMBER(SEARCH("Voiceless",A76)),0, IF(ISNUMBER(SEARCH("Voiced",A76)),1,""))</f>
        <v>1</v>
      </c>
      <c r="I76" t="str">
        <f>TRIM(LEFT(RIGHT(" "&amp;SUBSTITUTE(TRIM(A76)," ",REPT(" ",60)),120),60))</f>
        <v>labiodental</v>
      </c>
      <c r="J76" t="str">
        <f>TRIM(RIGHT(SUBSTITUTE(A76," ",REPT(" ",100)),100))</f>
        <v>approximant</v>
      </c>
      <c r="K76" t="str">
        <f>IF(ISNUMBER(SEARCH("Flap",A76)),1,"")</f>
        <v/>
      </c>
      <c r="L76" t="str">
        <f>IF(ISNUMBER(SEARCH("Lateral",A76)),1,"")</f>
        <v/>
      </c>
      <c r="N76">
        <v>1</v>
      </c>
      <c r="O76">
        <f t="shared" si="1"/>
        <v>7</v>
      </c>
      <c r="X76" s="3"/>
    </row>
    <row r="77" spans="1:24" x14ac:dyDescent="0.35">
      <c r="A77" s="1" t="s">
        <v>247</v>
      </c>
      <c r="B77" s="1" t="s">
        <v>248</v>
      </c>
      <c r="C77" s="1" t="s">
        <v>837</v>
      </c>
      <c r="D77" s="1" t="s">
        <v>837</v>
      </c>
      <c r="E77" s="1" t="s">
        <v>249</v>
      </c>
      <c r="F77" s="1" t="s">
        <v>1010</v>
      </c>
      <c r="G77" s="1" t="s">
        <v>1074</v>
      </c>
      <c r="H77">
        <f>IF(ISNUMBER(SEARCH("Voiceless",A77)),0, IF(ISNUMBER(SEARCH("Voiced",A77)),1,""))</f>
        <v>1</v>
      </c>
      <c r="I77" t="str">
        <f>TRIM(LEFT(RIGHT(" "&amp;SUBSTITUTE(TRIM(A77)," ",REPT(" ",60)),120),60))</f>
        <v>labial-palatal</v>
      </c>
      <c r="J77" t="str">
        <f>TRIM(RIGHT(SUBSTITUTE(A77," ",REPT(" ",100)),100))</f>
        <v>approximant</v>
      </c>
      <c r="K77" t="str">
        <f>IF(ISNUMBER(SEARCH("Flap",A77)),1,"")</f>
        <v/>
      </c>
      <c r="L77" t="str">
        <f>IF(ISNUMBER(SEARCH("Lateral",A77)),1,"")</f>
        <v/>
      </c>
      <c r="N77">
        <v>1</v>
      </c>
      <c r="O77">
        <f t="shared" si="1"/>
        <v>7</v>
      </c>
      <c r="X77" s="3"/>
    </row>
    <row r="78" spans="1:24" x14ac:dyDescent="0.35">
      <c r="A78" s="1" t="s">
        <v>250</v>
      </c>
      <c r="B78" s="1" t="s">
        <v>251</v>
      </c>
      <c r="C78" s="1" t="s">
        <v>252</v>
      </c>
      <c r="D78" s="1" t="s">
        <v>252</v>
      </c>
      <c r="E78" s="1" t="s">
        <v>253</v>
      </c>
      <c r="F78" s="1" t="s">
        <v>1010</v>
      </c>
      <c r="G78" s="1" t="s">
        <v>1074</v>
      </c>
      <c r="H78">
        <f>IF(ISNUMBER(SEARCH("Voiceless",A78)),0, IF(ISNUMBER(SEARCH("Voiced",A78)),1,""))</f>
        <v>1</v>
      </c>
      <c r="I78" t="str">
        <f>TRIM(LEFT(RIGHT(" "&amp;SUBSTITUTE(TRIM(A78)," ",REPT(" ",60)),120),60))</f>
        <v>palatal</v>
      </c>
      <c r="J78" t="str">
        <f>TRIM(RIGHT(SUBSTITUTE(A78," ",REPT(" ",100)),100))</f>
        <v>approximant</v>
      </c>
      <c r="K78" t="str">
        <f>IF(ISNUMBER(SEARCH("Flap",A78)),1,"")</f>
        <v/>
      </c>
      <c r="L78" t="str">
        <f>IF(ISNUMBER(SEARCH("Lateral",A78)),1,"")</f>
        <v/>
      </c>
      <c r="N78">
        <v>1</v>
      </c>
      <c r="O78">
        <f t="shared" si="1"/>
        <v>7</v>
      </c>
      <c r="X78" s="3" t="s">
        <v>1070</v>
      </c>
    </row>
    <row r="79" spans="1:24" x14ac:dyDescent="0.35">
      <c r="A79" s="1" t="s">
        <v>254</v>
      </c>
      <c r="B79" s="1" t="s">
        <v>255</v>
      </c>
      <c r="C79" s="1" t="s">
        <v>838</v>
      </c>
      <c r="D79" s="1" t="s">
        <v>838</v>
      </c>
      <c r="E79" s="1" t="s">
        <v>256</v>
      </c>
      <c r="F79" s="1" t="s">
        <v>1010</v>
      </c>
      <c r="G79" s="1" t="s">
        <v>1074</v>
      </c>
      <c r="H79">
        <f>IF(ISNUMBER(SEARCH("Voiceless",A79)),0, IF(ISNUMBER(SEARCH("Voiced",A79)),1,""))</f>
        <v>1</v>
      </c>
      <c r="I79" t="str">
        <f>TRIM(LEFT(RIGHT(" "&amp;SUBSTITUTE(TRIM(A79)," ",REPT(" ",60)),120),60))</f>
        <v>velar</v>
      </c>
      <c r="J79" t="str">
        <f>TRIM(RIGHT(SUBSTITUTE(A79," ",REPT(" ",100)),100))</f>
        <v>approximant</v>
      </c>
      <c r="K79" t="str">
        <f>IF(ISNUMBER(SEARCH("Flap",A79)),1,"")</f>
        <v/>
      </c>
      <c r="L79" t="str">
        <f>IF(ISNUMBER(SEARCH("Lateral",A79)),1,"")</f>
        <v/>
      </c>
    </row>
    <row r="80" spans="1:24" x14ac:dyDescent="0.35">
      <c r="A80" s="1" t="s">
        <v>257</v>
      </c>
      <c r="B80" s="1" t="s">
        <v>839</v>
      </c>
      <c r="C80" s="1" t="s">
        <v>840</v>
      </c>
      <c r="D80" s="1" t="s">
        <v>840</v>
      </c>
      <c r="E80" s="1" t="s">
        <v>258</v>
      </c>
      <c r="F80" s="1" t="s">
        <v>1011</v>
      </c>
      <c r="G80" s="1" t="s">
        <v>1074</v>
      </c>
      <c r="H80" t="str">
        <f>IF(ISNUMBER(SEARCH("Voiceless",A80)),0, IF(ISNUMBER(SEARCH("Voiced",A80)),1,""))</f>
        <v/>
      </c>
      <c r="I80" t="s">
        <v>1028</v>
      </c>
      <c r="J80" t="str">
        <f>TRIM(RIGHT(SUBSTITUTE(A80," ",REPT(" ",100)),100))</f>
        <v>click</v>
      </c>
      <c r="K80" t="str">
        <f>IF(ISNUMBER(SEARCH("Flap",A80)),1,"")</f>
        <v/>
      </c>
      <c r="L80" t="str">
        <f>IF(ISNUMBER(SEARCH("Lateral",A80)),1,"")</f>
        <v/>
      </c>
    </row>
    <row r="81" spans="1:23" x14ac:dyDescent="0.35">
      <c r="A81" s="1" t="s">
        <v>259</v>
      </c>
      <c r="B81" s="1" t="s">
        <v>260</v>
      </c>
      <c r="C81" s="1" t="s">
        <v>841</v>
      </c>
      <c r="D81" s="1" t="s">
        <v>841</v>
      </c>
      <c r="E81" s="1" t="s">
        <v>261</v>
      </c>
      <c r="F81" s="1" t="s">
        <v>1011</v>
      </c>
      <c r="G81" s="1" t="s">
        <v>1074</v>
      </c>
      <c r="H81" t="str">
        <f>IF(ISNUMBER(SEARCH("Voiceless",A81)),0, IF(ISNUMBER(SEARCH("Voiced",A81)),1,""))</f>
        <v/>
      </c>
      <c r="I81" t="s">
        <v>1029</v>
      </c>
      <c r="J81" t="str">
        <f>TRIM(RIGHT(SUBSTITUTE(A81," ",REPT(" ",100)),100))</f>
        <v>click</v>
      </c>
      <c r="K81" t="str">
        <f>IF(ISNUMBER(SEARCH("Flap",A81)),1,"")</f>
        <v/>
      </c>
      <c r="L81" t="str">
        <f>IF(ISNUMBER(SEARCH("Lateral",A81)),1,"")</f>
        <v/>
      </c>
    </row>
    <row r="82" spans="1:23" x14ac:dyDescent="0.35">
      <c r="A82" s="1" t="s">
        <v>262</v>
      </c>
      <c r="B82" s="1" t="s">
        <v>263</v>
      </c>
      <c r="C82" s="1" t="s">
        <v>842</v>
      </c>
      <c r="D82" s="1" t="s">
        <v>842</v>
      </c>
      <c r="E82" s="1" t="s">
        <v>264</v>
      </c>
      <c r="F82" s="1" t="s">
        <v>1011</v>
      </c>
      <c r="G82" s="1" t="s">
        <v>1074</v>
      </c>
      <c r="H82" t="str">
        <f>IF(ISNUMBER(SEARCH("Voiceless",A82)),0, IF(ISNUMBER(SEARCH("Voiced",A82)),1,""))</f>
        <v/>
      </c>
      <c r="I82" t="str">
        <f>TRIM(LEFT(RIGHT(" "&amp;SUBSTITUTE(TRIM(A82)," ",REPT(" ",60)),120),60))</f>
        <v>lateral</v>
      </c>
      <c r="J82" t="str">
        <f>TRIM(RIGHT(SUBSTITUTE(A82," ",REPT(" ",100)),100))</f>
        <v>click</v>
      </c>
      <c r="K82" t="str">
        <f>IF(ISNUMBER(SEARCH("Flap",A82)),1,"")</f>
        <v/>
      </c>
      <c r="L82">
        <f>IF(ISNUMBER(SEARCH("Lateral",A82)),1,"")</f>
        <v>1</v>
      </c>
    </row>
    <row r="83" spans="1:23" x14ac:dyDescent="0.35">
      <c r="A83" s="1" t="s">
        <v>265</v>
      </c>
      <c r="B83" s="1" t="s">
        <v>266</v>
      </c>
      <c r="C83" s="1" t="s">
        <v>843</v>
      </c>
      <c r="D83" s="1" t="s">
        <v>843</v>
      </c>
      <c r="E83" s="1" t="s">
        <v>267</v>
      </c>
      <c r="F83" s="1" t="s">
        <v>1011</v>
      </c>
      <c r="G83" s="1" t="s">
        <v>1074</v>
      </c>
      <c r="H83" t="str">
        <f>IF(ISNUMBER(SEARCH("Voiceless",A83)),0, IF(ISNUMBER(SEARCH("Voiced",A83)),1,""))</f>
        <v/>
      </c>
      <c r="I83" t="s">
        <v>1030</v>
      </c>
      <c r="J83" t="str">
        <f>TRIM(RIGHT(SUBSTITUTE(A83," ",REPT(" ",100)),100))</f>
        <v>click</v>
      </c>
      <c r="K83" t="str">
        <f>IF(ISNUMBER(SEARCH("Flap",A83)),1,"")</f>
        <v/>
      </c>
      <c r="L83" t="str">
        <f>IF(ISNUMBER(SEARCH("Lateral",A83)),1,"")</f>
        <v/>
      </c>
    </row>
    <row r="84" spans="1:23" x14ac:dyDescent="0.35">
      <c r="A84" s="1" t="s">
        <v>268</v>
      </c>
      <c r="B84" s="1" t="s">
        <v>269</v>
      </c>
      <c r="C84" s="1" t="s">
        <v>270</v>
      </c>
      <c r="D84" s="1" t="s">
        <v>270</v>
      </c>
      <c r="E84" s="1" t="s">
        <v>271</v>
      </c>
      <c r="F84" s="1" t="s">
        <v>1011</v>
      </c>
      <c r="G84" s="1" t="s">
        <v>1074</v>
      </c>
      <c r="H84" t="str">
        <f>IF(ISNUMBER(SEARCH("Voiceless",A84)),0, IF(ISNUMBER(SEARCH("Voiced",A84)),1,""))</f>
        <v/>
      </c>
      <c r="I84" t="str">
        <f>TRIM(LEFT(RIGHT(" "&amp;SUBSTITUTE(TRIM(A84)," ",REPT(" ",60)),120),60))</f>
        <v>alveolar</v>
      </c>
      <c r="J84" t="str">
        <f>TRIM(RIGHT(SUBSTITUTE(A84," ",REPT(" ",100)),100))</f>
        <v>click</v>
      </c>
      <c r="K84" t="str">
        <f>IF(ISNUMBER(SEARCH("Flap",A84)),1,"")</f>
        <v/>
      </c>
      <c r="L84" t="str">
        <f>IF(ISNUMBER(SEARCH("Lateral",A84)),1,"")</f>
        <v/>
      </c>
    </row>
    <row r="85" spans="1:23" x14ac:dyDescent="0.35">
      <c r="A85" s="1" t="s">
        <v>272</v>
      </c>
      <c r="B85" s="1" t="s">
        <v>273</v>
      </c>
      <c r="C85" s="1" t="s">
        <v>844</v>
      </c>
      <c r="D85" s="1" t="s">
        <v>844</v>
      </c>
      <c r="E85" s="1" t="s">
        <v>274</v>
      </c>
      <c r="F85" s="1" t="s">
        <v>1011</v>
      </c>
      <c r="G85" s="1" t="s">
        <v>1074</v>
      </c>
      <c r="H85" t="str">
        <f>IF(ISNUMBER(SEARCH("Voiceless",A85)),0, IF(ISNUMBER(SEARCH("Voiced",A85)),1,""))</f>
        <v/>
      </c>
      <c r="I85" t="s">
        <v>1031</v>
      </c>
      <c r="J85" t="str">
        <f>TRIM(RIGHT(SUBSTITUTE(A85," ",REPT(" ",100)),100))</f>
        <v>click</v>
      </c>
      <c r="K85" t="str">
        <f>IF(ISNUMBER(SEARCH("Flap",A85)),1,"")</f>
        <v/>
      </c>
      <c r="L85" t="str">
        <f>IF(ISNUMBER(SEARCH("Lateral",A85)),1,"")</f>
        <v/>
      </c>
    </row>
    <row r="86" spans="1:23" x14ac:dyDescent="0.35">
      <c r="A86" s="1" t="s">
        <v>275</v>
      </c>
      <c r="B86" s="1" t="s">
        <v>276</v>
      </c>
      <c r="C86" s="1" t="s">
        <v>845</v>
      </c>
      <c r="D86" s="1" t="s">
        <v>845</v>
      </c>
      <c r="E86" s="1" t="s">
        <v>277</v>
      </c>
      <c r="F86" s="1" t="s">
        <v>1012</v>
      </c>
      <c r="G86" s="1" t="s">
        <v>1074</v>
      </c>
      <c r="H86">
        <f>IF(ISNUMBER(SEARCH("Voiceless",A86)),0, IF(ISNUMBER(SEARCH("Voiced",A86)),1,""))</f>
        <v>1</v>
      </c>
      <c r="I86" t="str">
        <f>TRIM(LEFT(RIGHT(" "&amp;SUBSTITUTE(TRIM(A86)," ",REPT(" ",60)),120),60))</f>
        <v>bilabial</v>
      </c>
      <c r="J86" t="str">
        <f>TRIM(RIGHT(SUBSTITUTE(A86," ",REPT(" ",100)),100))</f>
        <v>implosive</v>
      </c>
      <c r="K86" t="str">
        <f>IF(ISNUMBER(SEARCH("Flap",A86)),1,"")</f>
        <v/>
      </c>
      <c r="L86" t="str">
        <f>IF(ISNUMBER(SEARCH("Lateral",A86)),1,"")</f>
        <v/>
      </c>
    </row>
    <row r="87" spans="1:23" x14ac:dyDescent="0.35">
      <c r="A87" s="1" t="s">
        <v>278</v>
      </c>
      <c r="B87" s="1" t="s">
        <v>279</v>
      </c>
      <c r="C87" s="1" t="s">
        <v>846</v>
      </c>
      <c r="D87" s="1" t="s">
        <v>846</v>
      </c>
      <c r="E87" s="1" t="s">
        <v>280</v>
      </c>
      <c r="F87" s="1" t="s">
        <v>1012</v>
      </c>
      <c r="G87" s="1" t="s">
        <v>1074</v>
      </c>
      <c r="H87">
        <f>IF(ISNUMBER(SEARCH("Voiceless",A87)),0, IF(ISNUMBER(SEARCH("Voiced",A87)),1,""))</f>
        <v>1</v>
      </c>
      <c r="I87" t="str">
        <f>TRIM(LEFT(RIGHT(" "&amp;SUBSTITUTE(TRIM(A87)," ",REPT(" ",60)),120),60))</f>
        <v>alveolar</v>
      </c>
      <c r="J87" t="str">
        <f>TRIM(RIGHT(SUBSTITUTE(A87," ",REPT(" ",100)),100))</f>
        <v>implosive</v>
      </c>
      <c r="K87" t="str">
        <f>IF(ISNUMBER(SEARCH("Flap",A87)),1,"")</f>
        <v/>
      </c>
      <c r="L87" t="str">
        <f>IF(ISNUMBER(SEARCH("Lateral",A87)),1,"")</f>
        <v/>
      </c>
    </row>
    <row r="88" spans="1:23" x14ac:dyDescent="0.35">
      <c r="A88" s="1" t="s">
        <v>281</v>
      </c>
      <c r="B88" s="1" t="s">
        <v>282</v>
      </c>
      <c r="C88" s="1" t="s">
        <v>847</v>
      </c>
      <c r="D88" s="1" t="s">
        <v>847</v>
      </c>
      <c r="E88" s="1" t="s">
        <v>283</v>
      </c>
      <c r="F88" s="1" t="s">
        <v>1012</v>
      </c>
      <c r="G88" s="1" t="s">
        <v>1074</v>
      </c>
      <c r="H88">
        <f>IF(ISNUMBER(SEARCH("Voiceless",A88)),0, IF(ISNUMBER(SEARCH("Voiced",A88)),1,""))</f>
        <v>1</v>
      </c>
      <c r="I88" t="str">
        <f>TRIM(LEFT(RIGHT(" "&amp;SUBSTITUTE(TRIM(A88)," ",REPT(" ",60)),120),60))</f>
        <v>palatal</v>
      </c>
      <c r="J88" t="str">
        <f>TRIM(RIGHT(SUBSTITUTE(A88," ",REPT(" ",100)),100))</f>
        <v>implosive</v>
      </c>
      <c r="K88" t="str">
        <f>IF(ISNUMBER(SEARCH("Flap",A88)),1,"")</f>
        <v/>
      </c>
      <c r="L88" t="str">
        <f>IF(ISNUMBER(SEARCH("Lateral",A88)),1,"")</f>
        <v/>
      </c>
    </row>
    <row r="89" spans="1:23" x14ac:dyDescent="0.35">
      <c r="A89" s="1" t="s">
        <v>284</v>
      </c>
      <c r="B89" s="1" t="s">
        <v>285</v>
      </c>
      <c r="C89" s="1" t="s">
        <v>848</v>
      </c>
      <c r="D89" s="1" t="s">
        <v>848</v>
      </c>
      <c r="E89" s="1" t="s">
        <v>286</v>
      </c>
      <c r="F89" s="1" t="s">
        <v>1012</v>
      </c>
      <c r="G89" s="1" t="s">
        <v>1074</v>
      </c>
      <c r="H89">
        <f>IF(ISNUMBER(SEARCH("Voiceless",A89)),0, IF(ISNUMBER(SEARCH("Voiced",A89)),1,""))</f>
        <v>1</v>
      </c>
      <c r="I89" t="str">
        <f>TRIM(LEFT(RIGHT(" "&amp;SUBSTITUTE(TRIM(A89)," ",REPT(" ",60)),120),60))</f>
        <v>velar</v>
      </c>
      <c r="J89" t="str">
        <f>TRIM(RIGHT(SUBSTITUTE(A89," ",REPT(" ",100)),100))</f>
        <v>implosive</v>
      </c>
      <c r="K89" t="str">
        <f>IF(ISNUMBER(SEARCH("Flap",A89)),1,"")</f>
        <v/>
      </c>
      <c r="L89" t="str">
        <f>IF(ISNUMBER(SEARCH("Lateral",A89)),1,"")</f>
        <v/>
      </c>
    </row>
    <row r="90" spans="1:23" x14ac:dyDescent="0.35">
      <c r="A90" s="1" t="s">
        <v>287</v>
      </c>
      <c r="B90" s="1" t="s">
        <v>288</v>
      </c>
      <c r="C90" s="1" t="s">
        <v>849</v>
      </c>
      <c r="D90" s="1" t="s">
        <v>849</v>
      </c>
      <c r="E90" s="1" t="s">
        <v>289</v>
      </c>
      <c r="F90" s="1" t="s">
        <v>1012</v>
      </c>
      <c r="G90" s="1" t="s">
        <v>1074</v>
      </c>
      <c r="H90">
        <f>IF(ISNUMBER(SEARCH("Voiceless",A90)),0, IF(ISNUMBER(SEARCH("Voiced",A90)),1,""))</f>
        <v>1</v>
      </c>
      <c r="I90" t="str">
        <f>TRIM(LEFT(RIGHT(" "&amp;SUBSTITUTE(TRIM(A90)," ",REPT(" ",60)),120),60))</f>
        <v>uvular</v>
      </c>
      <c r="J90" t="str">
        <f>TRIM(RIGHT(SUBSTITUTE(A90," ",REPT(" ",100)),100))</f>
        <v>implosive</v>
      </c>
      <c r="K90" t="str">
        <f>IF(ISNUMBER(SEARCH("Flap",A90)),1,"")</f>
        <v/>
      </c>
      <c r="L90" t="str">
        <f>IF(ISNUMBER(SEARCH("Lateral",A90)),1,"")</f>
        <v/>
      </c>
    </row>
    <row r="91" spans="1:23" x14ac:dyDescent="0.35">
      <c r="A91" s="1" t="s">
        <v>290</v>
      </c>
      <c r="B91" s="1" t="s">
        <v>291</v>
      </c>
      <c r="C91" s="1" t="s">
        <v>292</v>
      </c>
      <c r="D91" s="1" t="s">
        <v>292</v>
      </c>
      <c r="E91" s="1" t="s">
        <v>293</v>
      </c>
      <c r="F91" s="1" t="s">
        <v>1013</v>
      </c>
      <c r="G91" s="1" t="s">
        <v>1074</v>
      </c>
      <c r="H91" t="str">
        <f>IF(ISNUMBER(SEARCH("Voiceless",A91)),0, IF(ISNUMBER(SEARCH("Voiced",A91)),1,""))</f>
        <v/>
      </c>
      <c r="P91" t="str">
        <f t="shared" ref="P91:P120" si="2">IF(ISNUMBER(SEARCH("Back",A91)),1, "")</f>
        <v/>
      </c>
      <c r="Q91" t="str">
        <f t="shared" ref="Q91:Q120" si="3">IF(ISNUMBER(SEARCH("Central",A91)),1, "")</f>
        <v/>
      </c>
      <c r="R91">
        <f t="shared" ref="R91:R120" si="4">IF(ISNUMBER(SEARCH("Front",A91)),1, "")</f>
        <v>1</v>
      </c>
      <c r="S91">
        <f t="shared" ref="S91:S120" si="5">IF(ISNUMBER(SEARCH("Close",A91)),1, "")</f>
        <v>1</v>
      </c>
      <c r="T91" t="str">
        <f t="shared" ref="T91:T120" si="6">IF(ISNUMBER(SEARCH("Mid",A91)),1, "")</f>
        <v/>
      </c>
      <c r="U91" t="str">
        <f t="shared" ref="U91:U120" si="7">IF(ISNUMBER(SEARCH("Open",A91)),1, "")</f>
        <v/>
      </c>
      <c r="V91">
        <f t="shared" ref="V91:V120" si="8">IF(ISNUMBER(SEARCH("unrounded",A91)),0,IF(ISNUMBER(SEARCH("rounded",A91)),1,0))</f>
        <v>0</v>
      </c>
      <c r="W91" t="str">
        <f t="shared" ref="W91:W120" si="9">IF(ISNUMBER(SEARCH("Rhoticized",A91)),1, "")</f>
        <v/>
      </c>
    </row>
    <row r="92" spans="1:23" x14ac:dyDescent="0.35">
      <c r="A92" s="1" t="s">
        <v>294</v>
      </c>
      <c r="B92" s="1" t="s">
        <v>295</v>
      </c>
      <c r="C92" s="1" t="s">
        <v>296</v>
      </c>
      <c r="D92" s="1" t="s">
        <v>296</v>
      </c>
      <c r="E92" s="1" t="s">
        <v>297</v>
      </c>
      <c r="F92" s="1" t="s">
        <v>1013</v>
      </c>
      <c r="G92" s="1" t="s">
        <v>1074</v>
      </c>
      <c r="H92" t="str">
        <f>IF(ISNUMBER(SEARCH("Voiceless",A92)),0, IF(ISNUMBER(SEARCH("Voiced",A92)),1,""))</f>
        <v/>
      </c>
      <c r="P92" t="str">
        <f t="shared" si="2"/>
        <v/>
      </c>
      <c r="Q92" t="str">
        <f t="shared" si="3"/>
        <v/>
      </c>
      <c r="R92">
        <f t="shared" si="4"/>
        <v>1</v>
      </c>
      <c r="S92">
        <f t="shared" si="5"/>
        <v>1</v>
      </c>
      <c r="T92" t="str">
        <f t="shared" si="6"/>
        <v/>
      </c>
      <c r="U92" t="str">
        <f t="shared" si="7"/>
        <v/>
      </c>
      <c r="V92">
        <f t="shared" si="8"/>
        <v>1</v>
      </c>
      <c r="W92" t="str">
        <f t="shared" si="9"/>
        <v/>
      </c>
    </row>
    <row r="93" spans="1:23" x14ac:dyDescent="0.35">
      <c r="A93" s="1" t="s">
        <v>298</v>
      </c>
      <c r="B93" s="1" t="s">
        <v>299</v>
      </c>
      <c r="C93" s="1" t="s">
        <v>850</v>
      </c>
      <c r="D93" s="1" t="s">
        <v>850</v>
      </c>
      <c r="E93" s="1" t="s">
        <v>300</v>
      </c>
      <c r="F93" s="1" t="s">
        <v>1013</v>
      </c>
      <c r="G93" s="1" t="s">
        <v>1074</v>
      </c>
      <c r="H93" t="str">
        <f>IF(ISNUMBER(SEARCH("Voiceless",A93)),0, IF(ISNUMBER(SEARCH("Voiced",A93)),1,""))</f>
        <v/>
      </c>
      <c r="P93" t="str">
        <f t="shared" si="2"/>
        <v/>
      </c>
      <c r="Q93">
        <f t="shared" si="3"/>
        <v>1</v>
      </c>
      <c r="R93" t="str">
        <f t="shared" si="4"/>
        <v/>
      </c>
      <c r="S93">
        <f t="shared" si="5"/>
        <v>1</v>
      </c>
      <c r="T93" t="str">
        <f t="shared" si="6"/>
        <v/>
      </c>
      <c r="U93" t="str">
        <f t="shared" si="7"/>
        <v/>
      </c>
      <c r="V93">
        <f t="shared" si="8"/>
        <v>0</v>
      </c>
      <c r="W93" t="str">
        <f t="shared" si="9"/>
        <v/>
      </c>
    </row>
    <row r="94" spans="1:23" x14ac:dyDescent="0.35">
      <c r="A94" s="1" t="s">
        <v>301</v>
      </c>
      <c r="B94" s="1" t="s">
        <v>302</v>
      </c>
      <c r="C94" s="1" t="s">
        <v>851</v>
      </c>
      <c r="D94" s="1" t="s">
        <v>851</v>
      </c>
      <c r="E94" s="1" t="s">
        <v>303</v>
      </c>
      <c r="F94" s="1" t="s">
        <v>1013</v>
      </c>
      <c r="G94" s="1" t="s">
        <v>1074</v>
      </c>
      <c r="H94" t="str">
        <f>IF(ISNUMBER(SEARCH("Voiceless",A94)),0, IF(ISNUMBER(SEARCH("Voiced",A94)),1,""))</f>
        <v/>
      </c>
      <c r="P94" t="str">
        <f t="shared" si="2"/>
        <v/>
      </c>
      <c r="Q94">
        <f t="shared" si="3"/>
        <v>1</v>
      </c>
      <c r="R94" t="str">
        <f t="shared" si="4"/>
        <v/>
      </c>
      <c r="S94">
        <f t="shared" si="5"/>
        <v>1</v>
      </c>
      <c r="T94" t="str">
        <f t="shared" si="6"/>
        <v/>
      </c>
      <c r="U94" t="str">
        <f t="shared" si="7"/>
        <v/>
      </c>
      <c r="V94">
        <f t="shared" si="8"/>
        <v>1</v>
      </c>
      <c r="W94" t="str">
        <f t="shared" si="9"/>
        <v/>
      </c>
    </row>
    <row r="95" spans="1:23" x14ac:dyDescent="0.35">
      <c r="A95" s="1" t="s">
        <v>304</v>
      </c>
      <c r="B95" s="1" t="s">
        <v>305</v>
      </c>
      <c r="C95" s="1" t="s">
        <v>852</v>
      </c>
      <c r="D95" s="1" t="s">
        <v>852</v>
      </c>
      <c r="E95" s="1" t="s">
        <v>306</v>
      </c>
      <c r="F95" s="1" t="s">
        <v>1013</v>
      </c>
      <c r="G95" s="1" t="s">
        <v>1074</v>
      </c>
      <c r="H95" t="str">
        <f>IF(ISNUMBER(SEARCH("Voiceless",A95)),0, IF(ISNUMBER(SEARCH("Voiced",A95)),1,""))</f>
        <v/>
      </c>
      <c r="P95">
        <f t="shared" si="2"/>
        <v>1</v>
      </c>
      <c r="Q95" t="str">
        <f t="shared" si="3"/>
        <v/>
      </c>
      <c r="R95" t="str">
        <f t="shared" si="4"/>
        <v/>
      </c>
      <c r="S95">
        <f t="shared" si="5"/>
        <v>1</v>
      </c>
      <c r="T95" t="str">
        <f t="shared" si="6"/>
        <v/>
      </c>
      <c r="U95" t="str">
        <f t="shared" si="7"/>
        <v/>
      </c>
      <c r="V95">
        <f t="shared" si="8"/>
        <v>0</v>
      </c>
      <c r="W95" t="str">
        <f t="shared" si="9"/>
        <v/>
      </c>
    </row>
    <row r="96" spans="1:23" x14ac:dyDescent="0.35">
      <c r="A96" s="1" t="s">
        <v>307</v>
      </c>
      <c r="B96" s="1" t="s">
        <v>308</v>
      </c>
      <c r="C96" s="1" t="s">
        <v>309</v>
      </c>
      <c r="D96" s="1" t="s">
        <v>309</v>
      </c>
      <c r="E96" s="1" t="s">
        <v>310</v>
      </c>
      <c r="F96" s="1" t="s">
        <v>1013</v>
      </c>
      <c r="G96" s="1" t="s">
        <v>1074</v>
      </c>
      <c r="H96" t="str">
        <f>IF(ISNUMBER(SEARCH("Voiceless",A96)),0, IF(ISNUMBER(SEARCH("Voiced",A96)),1,""))</f>
        <v/>
      </c>
      <c r="P96">
        <f t="shared" si="2"/>
        <v>1</v>
      </c>
      <c r="Q96" t="str">
        <f t="shared" si="3"/>
        <v/>
      </c>
      <c r="R96" t="str">
        <f t="shared" si="4"/>
        <v/>
      </c>
      <c r="S96">
        <f t="shared" si="5"/>
        <v>1</v>
      </c>
      <c r="T96" t="str">
        <f t="shared" si="6"/>
        <v/>
      </c>
      <c r="U96" t="str">
        <f t="shared" si="7"/>
        <v/>
      </c>
      <c r="V96">
        <f t="shared" si="8"/>
        <v>1</v>
      </c>
      <c r="W96" t="str">
        <f t="shared" si="9"/>
        <v/>
      </c>
    </row>
    <row r="97" spans="1:23" x14ac:dyDescent="0.35">
      <c r="A97" s="1" t="s">
        <v>311</v>
      </c>
      <c r="B97" s="1" t="s">
        <v>312</v>
      </c>
      <c r="C97" s="1" t="s">
        <v>853</v>
      </c>
      <c r="D97" s="1" t="s">
        <v>853</v>
      </c>
      <c r="E97" s="1" t="s">
        <v>313</v>
      </c>
      <c r="F97" s="1" t="s">
        <v>1013</v>
      </c>
      <c r="G97" s="1" t="s">
        <v>1074</v>
      </c>
      <c r="H97" t="str">
        <f>IF(ISNUMBER(SEARCH("Voiceless",A97)),0, IF(ISNUMBER(SEARCH("Voiced",A97)),1,""))</f>
        <v/>
      </c>
      <c r="P97" t="str">
        <f t="shared" si="2"/>
        <v/>
      </c>
      <c r="Q97" t="str">
        <f t="shared" si="3"/>
        <v/>
      </c>
      <c r="R97">
        <f t="shared" si="4"/>
        <v>1</v>
      </c>
      <c r="S97">
        <f t="shared" si="5"/>
        <v>1</v>
      </c>
      <c r="T97" t="str">
        <f t="shared" si="6"/>
        <v/>
      </c>
      <c r="U97" t="str">
        <f t="shared" si="7"/>
        <v/>
      </c>
      <c r="V97">
        <f t="shared" si="8"/>
        <v>0</v>
      </c>
      <c r="W97" t="str">
        <f t="shared" si="9"/>
        <v/>
      </c>
    </row>
    <row r="98" spans="1:23" x14ac:dyDescent="0.35">
      <c r="A98" s="1" t="s">
        <v>314</v>
      </c>
      <c r="B98" s="1" t="s">
        <v>315</v>
      </c>
      <c r="C98" s="1" t="s">
        <v>854</v>
      </c>
      <c r="D98" s="1" t="s">
        <v>854</v>
      </c>
      <c r="E98" s="1" t="s">
        <v>316</v>
      </c>
      <c r="F98" s="1" t="s">
        <v>1013</v>
      </c>
      <c r="G98" s="1" t="s">
        <v>1074</v>
      </c>
      <c r="H98" t="str">
        <f>IF(ISNUMBER(SEARCH("Voiceless",A98)),0, IF(ISNUMBER(SEARCH("Voiced",A98)),1,""))</f>
        <v/>
      </c>
      <c r="P98" t="str">
        <f t="shared" si="2"/>
        <v/>
      </c>
      <c r="Q98" t="str">
        <f t="shared" si="3"/>
        <v/>
      </c>
      <c r="R98">
        <f t="shared" si="4"/>
        <v>1</v>
      </c>
      <c r="S98">
        <f t="shared" si="5"/>
        <v>1</v>
      </c>
      <c r="T98" t="str">
        <f t="shared" si="6"/>
        <v/>
      </c>
      <c r="U98" t="str">
        <f t="shared" si="7"/>
        <v/>
      </c>
      <c r="V98">
        <f t="shared" si="8"/>
        <v>1</v>
      </c>
      <c r="W98" t="str">
        <f t="shared" si="9"/>
        <v/>
      </c>
    </row>
    <row r="99" spans="1:23" x14ac:dyDescent="0.35">
      <c r="A99" s="1" t="s">
        <v>317</v>
      </c>
      <c r="B99" s="1" t="s">
        <v>318</v>
      </c>
      <c r="C99" s="1" t="s">
        <v>855</v>
      </c>
      <c r="D99" s="1" t="s">
        <v>855</v>
      </c>
      <c r="E99" s="1" t="s">
        <v>319</v>
      </c>
      <c r="F99" s="1" t="s">
        <v>1013</v>
      </c>
      <c r="G99" s="1" t="s">
        <v>1074</v>
      </c>
      <c r="H99" t="str">
        <f>IF(ISNUMBER(SEARCH("Voiceless",A99)),0, IF(ISNUMBER(SEARCH("Voiced",A99)),1,""))</f>
        <v/>
      </c>
      <c r="P99">
        <f t="shared" si="2"/>
        <v>1</v>
      </c>
      <c r="Q99" t="str">
        <f t="shared" si="3"/>
        <v/>
      </c>
      <c r="R99" t="str">
        <f t="shared" si="4"/>
        <v/>
      </c>
      <c r="S99">
        <f t="shared" si="5"/>
        <v>1</v>
      </c>
      <c r="T99" t="str">
        <f t="shared" si="6"/>
        <v/>
      </c>
      <c r="U99" t="str">
        <f t="shared" si="7"/>
        <v/>
      </c>
      <c r="V99">
        <f t="shared" si="8"/>
        <v>1</v>
      </c>
      <c r="W99" t="str">
        <f t="shared" si="9"/>
        <v/>
      </c>
    </row>
    <row r="100" spans="1:23" x14ac:dyDescent="0.35">
      <c r="A100" s="1" t="s">
        <v>320</v>
      </c>
      <c r="B100" s="1" t="s">
        <v>321</v>
      </c>
      <c r="C100" s="1" t="s">
        <v>322</v>
      </c>
      <c r="D100" s="1" t="s">
        <v>322</v>
      </c>
      <c r="E100" s="1" t="s">
        <v>323</v>
      </c>
      <c r="F100" s="1" t="s">
        <v>1013</v>
      </c>
      <c r="G100" s="1" t="s">
        <v>1074</v>
      </c>
      <c r="H100" t="str">
        <f>IF(ISNUMBER(SEARCH("Voiceless",A100)),0, IF(ISNUMBER(SEARCH("Voiced",A100)),1,""))</f>
        <v/>
      </c>
      <c r="P100" t="str">
        <f t="shared" si="2"/>
        <v/>
      </c>
      <c r="Q100" t="str">
        <f t="shared" si="3"/>
        <v/>
      </c>
      <c r="R100">
        <f t="shared" si="4"/>
        <v>1</v>
      </c>
      <c r="S100">
        <f t="shared" si="5"/>
        <v>1</v>
      </c>
      <c r="T100">
        <f t="shared" si="6"/>
        <v>1</v>
      </c>
      <c r="U100" t="str">
        <f t="shared" si="7"/>
        <v/>
      </c>
      <c r="V100">
        <f t="shared" si="8"/>
        <v>0</v>
      </c>
      <c r="W100" t="str">
        <f t="shared" si="9"/>
        <v/>
      </c>
    </row>
    <row r="101" spans="1:23" x14ac:dyDescent="0.35">
      <c r="A101" s="1" t="s">
        <v>324</v>
      </c>
      <c r="B101" s="1" t="s">
        <v>325</v>
      </c>
      <c r="C101" s="1" t="s">
        <v>326</v>
      </c>
      <c r="D101" s="1" t="s">
        <v>326</v>
      </c>
      <c r="E101" s="1" t="s">
        <v>327</v>
      </c>
      <c r="F101" s="1" t="s">
        <v>1013</v>
      </c>
      <c r="G101" s="1" t="s">
        <v>1074</v>
      </c>
      <c r="H101" t="str">
        <f>IF(ISNUMBER(SEARCH("Voiceless",A101)),0, IF(ISNUMBER(SEARCH("Voiced",A101)),1,""))</f>
        <v/>
      </c>
      <c r="P101" t="str">
        <f t="shared" si="2"/>
        <v/>
      </c>
      <c r="Q101" t="str">
        <f t="shared" si="3"/>
        <v/>
      </c>
      <c r="R101">
        <f t="shared" si="4"/>
        <v>1</v>
      </c>
      <c r="S101">
        <f t="shared" si="5"/>
        <v>1</v>
      </c>
      <c r="T101">
        <f t="shared" si="6"/>
        <v>1</v>
      </c>
      <c r="U101" t="str">
        <f t="shared" si="7"/>
        <v/>
      </c>
      <c r="V101">
        <f t="shared" si="8"/>
        <v>1</v>
      </c>
      <c r="W101" t="str">
        <f t="shared" si="9"/>
        <v/>
      </c>
    </row>
    <row r="102" spans="1:23" x14ac:dyDescent="0.35">
      <c r="A102" s="1" t="s">
        <v>328</v>
      </c>
      <c r="B102" s="1" t="s">
        <v>329</v>
      </c>
      <c r="C102" s="1" t="s">
        <v>856</v>
      </c>
      <c r="D102" s="1" t="s">
        <v>856</v>
      </c>
      <c r="E102" s="1" t="s">
        <v>330</v>
      </c>
      <c r="F102" s="1" t="s">
        <v>1013</v>
      </c>
      <c r="G102" s="1" t="s">
        <v>1074</v>
      </c>
      <c r="H102" t="str">
        <f>IF(ISNUMBER(SEARCH("Voiceless",A102)),0, IF(ISNUMBER(SEARCH("Voiced",A102)),1,""))</f>
        <v/>
      </c>
      <c r="P102" t="str">
        <f t="shared" si="2"/>
        <v/>
      </c>
      <c r="Q102">
        <f t="shared" si="3"/>
        <v>1</v>
      </c>
      <c r="R102" t="str">
        <f t="shared" si="4"/>
        <v/>
      </c>
      <c r="S102">
        <f t="shared" si="5"/>
        <v>1</v>
      </c>
      <c r="T102">
        <f t="shared" si="6"/>
        <v>1</v>
      </c>
      <c r="U102" t="str">
        <f t="shared" si="7"/>
        <v/>
      </c>
      <c r="V102">
        <f t="shared" si="8"/>
        <v>0</v>
      </c>
      <c r="W102" t="str">
        <f t="shared" si="9"/>
        <v/>
      </c>
    </row>
    <row r="103" spans="1:23" x14ac:dyDescent="0.35">
      <c r="A103" s="1" t="s">
        <v>331</v>
      </c>
      <c r="B103" s="1" t="s">
        <v>332</v>
      </c>
      <c r="C103" s="1" t="s">
        <v>857</v>
      </c>
      <c r="D103" s="1" t="s">
        <v>857</v>
      </c>
      <c r="E103" s="1" t="s">
        <v>333</v>
      </c>
      <c r="F103" s="1" t="s">
        <v>1013</v>
      </c>
      <c r="G103" s="1" t="s">
        <v>1074</v>
      </c>
      <c r="H103" t="str">
        <f>IF(ISNUMBER(SEARCH("Voiceless",A103)),0, IF(ISNUMBER(SEARCH("Voiced",A103)),1,""))</f>
        <v/>
      </c>
      <c r="P103" t="str">
        <f t="shared" si="2"/>
        <v/>
      </c>
      <c r="Q103">
        <f t="shared" si="3"/>
        <v>1</v>
      </c>
      <c r="R103" t="str">
        <f t="shared" si="4"/>
        <v/>
      </c>
      <c r="S103">
        <f t="shared" si="5"/>
        <v>1</v>
      </c>
      <c r="T103">
        <f t="shared" si="6"/>
        <v>1</v>
      </c>
      <c r="U103" t="str">
        <f t="shared" si="7"/>
        <v/>
      </c>
      <c r="V103">
        <f t="shared" si="8"/>
        <v>1</v>
      </c>
      <c r="W103" t="str">
        <f t="shared" si="9"/>
        <v/>
      </c>
    </row>
    <row r="104" spans="1:23" x14ac:dyDescent="0.35">
      <c r="A104" s="1" t="s">
        <v>334</v>
      </c>
      <c r="B104" s="1" t="s">
        <v>858</v>
      </c>
      <c r="C104" s="1" t="s">
        <v>859</v>
      </c>
      <c r="D104" s="1" t="s">
        <v>859</v>
      </c>
      <c r="E104" s="1" t="s">
        <v>335</v>
      </c>
      <c r="F104" s="1" t="s">
        <v>1013</v>
      </c>
      <c r="G104" s="1" t="s">
        <v>1074</v>
      </c>
      <c r="H104" t="str">
        <f>IF(ISNUMBER(SEARCH("Voiceless",A104)),0, IF(ISNUMBER(SEARCH("Voiced",A104)),1,""))</f>
        <v/>
      </c>
      <c r="P104">
        <f t="shared" si="2"/>
        <v>1</v>
      </c>
      <c r="Q104" t="str">
        <f t="shared" si="3"/>
        <v/>
      </c>
      <c r="R104" t="str">
        <f t="shared" si="4"/>
        <v/>
      </c>
      <c r="S104">
        <f t="shared" si="5"/>
        <v>1</v>
      </c>
      <c r="T104">
        <f t="shared" si="6"/>
        <v>1</v>
      </c>
      <c r="U104" t="str">
        <f t="shared" si="7"/>
        <v/>
      </c>
      <c r="V104">
        <f t="shared" si="8"/>
        <v>0</v>
      </c>
      <c r="W104" t="str">
        <f t="shared" si="9"/>
        <v/>
      </c>
    </row>
    <row r="105" spans="1:23" x14ac:dyDescent="0.35">
      <c r="A105" s="1" t="s">
        <v>336</v>
      </c>
      <c r="B105" s="1" t="s">
        <v>337</v>
      </c>
      <c r="C105" s="1" t="s">
        <v>338</v>
      </c>
      <c r="D105" s="1" t="s">
        <v>338</v>
      </c>
      <c r="E105" s="1" t="s">
        <v>339</v>
      </c>
      <c r="F105" s="1" t="s">
        <v>1013</v>
      </c>
      <c r="G105" s="1" t="s">
        <v>1074</v>
      </c>
      <c r="H105" t="str">
        <f>IF(ISNUMBER(SEARCH("Voiceless",A105)),0, IF(ISNUMBER(SEARCH("Voiced",A105)),1,""))</f>
        <v/>
      </c>
      <c r="P105">
        <f t="shared" si="2"/>
        <v>1</v>
      </c>
      <c r="Q105" t="str">
        <f t="shared" si="3"/>
        <v/>
      </c>
      <c r="R105" t="str">
        <f t="shared" si="4"/>
        <v/>
      </c>
      <c r="S105" t="str">
        <f t="shared" si="5"/>
        <v/>
      </c>
      <c r="T105">
        <f t="shared" si="6"/>
        <v>1</v>
      </c>
      <c r="U105">
        <f t="shared" si="7"/>
        <v>1</v>
      </c>
      <c r="V105">
        <f t="shared" si="8"/>
        <v>1</v>
      </c>
      <c r="W105" t="str">
        <f t="shared" si="9"/>
        <v/>
      </c>
    </row>
    <row r="106" spans="1:23" x14ac:dyDescent="0.35">
      <c r="A106" s="1" t="s">
        <v>340</v>
      </c>
      <c r="B106" s="1" t="s">
        <v>341</v>
      </c>
      <c r="C106" s="1" t="s">
        <v>860</v>
      </c>
      <c r="D106" s="1" t="s">
        <v>860</v>
      </c>
      <c r="E106" s="1" t="s">
        <v>342</v>
      </c>
      <c r="F106" s="1" t="s">
        <v>1013</v>
      </c>
      <c r="G106" s="1" t="s">
        <v>1074</v>
      </c>
      <c r="H106" t="str">
        <f>IF(ISNUMBER(SEARCH("Voiceless",A106)),0, IF(ISNUMBER(SEARCH("Voiced",A106)),1,""))</f>
        <v/>
      </c>
      <c r="P106" t="str">
        <f t="shared" si="2"/>
        <v/>
      </c>
      <c r="Q106">
        <f t="shared" si="3"/>
        <v>1</v>
      </c>
      <c r="R106" t="str">
        <f t="shared" si="4"/>
        <v/>
      </c>
      <c r="S106" t="str">
        <f t="shared" si="5"/>
        <v/>
      </c>
      <c r="T106">
        <f t="shared" si="6"/>
        <v>1</v>
      </c>
      <c r="U106" t="str">
        <f t="shared" si="7"/>
        <v/>
      </c>
      <c r="V106">
        <f t="shared" si="8"/>
        <v>0</v>
      </c>
      <c r="W106" t="str">
        <f t="shared" si="9"/>
        <v/>
      </c>
    </row>
    <row r="107" spans="1:23" x14ac:dyDescent="0.35">
      <c r="A107" s="1" t="s">
        <v>343</v>
      </c>
      <c r="B107" s="1" t="s">
        <v>344</v>
      </c>
      <c r="C107" s="1" t="s">
        <v>861</v>
      </c>
      <c r="D107" s="1" t="s">
        <v>861</v>
      </c>
      <c r="E107" s="1" t="s">
        <v>345</v>
      </c>
      <c r="F107" s="1" t="s">
        <v>1013</v>
      </c>
      <c r="G107" s="1" t="s">
        <v>1074</v>
      </c>
      <c r="H107" t="str">
        <f>IF(ISNUMBER(SEARCH("Voiceless",A107)),0, IF(ISNUMBER(SEARCH("Voiced",A107)),1,""))</f>
        <v/>
      </c>
      <c r="P107" t="str">
        <f t="shared" si="2"/>
        <v/>
      </c>
      <c r="Q107">
        <f t="shared" si="3"/>
        <v>1</v>
      </c>
      <c r="R107" t="str">
        <f t="shared" si="4"/>
        <v/>
      </c>
      <c r="S107" t="str">
        <f t="shared" si="5"/>
        <v/>
      </c>
      <c r="T107">
        <f t="shared" si="6"/>
        <v>1</v>
      </c>
      <c r="U107" t="str">
        <f t="shared" si="7"/>
        <v/>
      </c>
      <c r="V107">
        <f t="shared" si="8"/>
        <v>0</v>
      </c>
      <c r="W107">
        <f t="shared" si="9"/>
        <v>1</v>
      </c>
    </row>
    <row r="108" spans="1:23" x14ac:dyDescent="0.35">
      <c r="A108" s="1" t="s">
        <v>346</v>
      </c>
      <c r="B108" s="1" t="s">
        <v>347</v>
      </c>
      <c r="C108" s="1" t="s">
        <v>862</v>
      </c>
      <c r="D108" s="1" t="s">
        <v>862</v>
      </c>
      <c r="E108" s="1" t="s">
        <v>348</v>
      </c>
      <c r="F108" s="1" t="s">
        <v>1013</v>
      </c>
      <c r="G108" s="1" t="s">
        <v>1074</v>
      </c>
      <c r="H108" t="str">
        <f>IF(ISNUMBER(SEARCH("Voiceless",A108)),0, IF(ISNUMBER(SEARCH("Voiced",A108)),1,""))</f>
        <v/>
      </c>
      <c r="P108" t="str">
        <f t="shared" si="2"/>
        <v/>
      </c>
      <c r="Q108" t="str">
        <f t="shared" si="3"/>
        <v/>
      </c>
      <c r="R108">
        <f t="shared" si="4"/>
        <v>1</v>
      </c>
      <c r="S108" t="str">
        <f t="shared" si="5"/>
        <v/>
      </c>
      <c r="T108">
        <f t="shared" si="6"/>
        <v>1</v>
      </c>
      <c r="U108">
        <f t="shared" si="7"/>
        <v>1</v>
      </c>
      <c r="V108">
        <f t="shared" si="8"/>
        <v>0</v>
      </c>
      <c r="W108" t="str">
        <f t="shared" si="9"/>
        <v/>
      </c>
    </row>
    <row r="109" spans="1:23" x14ac:dyDescent="0.35">
      <c r="A109" s="1" t="s">
        <v>349</v>
      </c>
      <c r="B109" s="1" t="s">
        <v>350</v>
      </c>
      <c r="C109" s="1" t="s">
        <v>351</v>
      </c>
      <c r="D109" s="1" t="s">
        <v>351</v>
      </c>
      <c r="E109" s="1" t="s">
        <v>352</v>
      </c>
      <c r="F109" s="1" t="s">
        <v>1013</v>
      </c>
      <c r="G109" s="1" t="s">
        <v>1074</v>
      </c>
      <c r="H109" t="str">
        <f>IF(ISNUMBER(SEARCH("Voiceless",A109)),0, IF(ISNUMBER(SEARCH("Voiced",A109)),1,""))</f>
        <v/>
      </c>
      <c r="P109" t="str">
        <f t="shared" si="2"/>
        <v/>
      </c>
      <c r="Q109" t="str">
        <f t="shared" si="3"/>
        <v/>
      </c>
      <c r="R109">
        <f t="shared" si="4"/>
        <v>1</v>
      </c>
      <c r="S109" t="str">
        <f t="shared" si="5"/>
        <v/>
      </c>
      <c r="T109">
        <f t="shared" si="6"/>
        <v>1</v>
      </c>
      <c r="U109">
        <f t="shared" si="7"/>
        <v>1</v>
      </c>
      <c r="V109">
        <f t="shared" si="8"/>
        <v>1</v>
      </c>
      <c r="W109" t="str">
        <f t="shared" si="9"/>
        <v/>
      </c>
    </row>
    <row r="110" spans="1:23" x14ac:dyDescent="0.35">
      <c r="A110" s="1" t="s">
        <v>353</v>
      </c>
      <c r="B110" s="1" t="s">
        <v>354</v>
      </c>
      <c r="C110" s="1" t="s">
        <v>863</v>
      </c>
      <c r="D110" s="1" t="s">
        <v>863</v>
      </c>
      <c r="E110" s="1" t="s">
        <v>355</v>
      </c>
      <c r="F110" s="1" t="s">
        <v>1013</v>
      </c>
      <c r="G110" s="1" t="s">
        <v>1074</v>
      </c>
      <c r="H110" t="str">
        <f>IF(ISNUMBER(SEARCH("Voiceless",A110)),0, IF(ISNUMBER(SEARCH("Voiced",A110)),1,""))</f>
        <v/>
      </c>
      <c r="P110" t="str">
        <f t="shared" si="2"/>
        <v/>
      </c>
      <c r="Q110">
        <f t="shared" si="3"/>
        <v>1</v>
      </c>
      <c r="R110" t="str">
        <f t="shared" si="4"/>
        <v/>
      </c>
      <c r="S110" t="str">
        <f t="shared" si="5"/>
        <v/>
      </c>
      <c r="T110">
        <f t="shared" si="6"/>
        <v>1</v>
      </c>
      <c r="U110">
        <f t="shared" si="7"/>
        <v>1</v>
      </c>
      <c r="V110">
        <f t="shared" si="8"/>
        <v>0</v>
      </c>
      <c r="W110" t="str">
        <f t="shared" si="9"/>
        <v/>
      </c>
    </row>
    <row r="111" spans="1:23" x14ac:dyDescent="0.35">
      <c r="A111" s="1" t="s">
        <v>356</v>
      </c>
      <c r="B111" s="1" t="s">
        <v>357</v>
      </c>
      <c r="C111" s="1" t="s">
        <v>864</v>
      </c>
      <c r="D111" s="1" t="s">
        <v>864</v>
      </c>
      <c r="E111" s="1" t="s">
        <v>358</v>
      </c>
      <c r="F111" s="1" t="s">
        <v>1013</v>
      </c>
      <c r="G111" s="1" t="s">
        <v>1074</v>
      </c>
      <c r="H111" t="str">
        <f>IF(ISNUMBER(SEARCH("Voiceless",A111)),0, IF(ISNUMBER(SEARCH("Voiced",A111)),1,""))</f>
        <v/>
      </c>
      <c r="P111" t="str">
        <f t="shared" si="2"/>
        <v/>
      </c>
      <c r="Q111">
        <f t="shared" si="3"/>
        <v>1</v>
      </c>
      <c r="R111" t="str">
        <f t="shared" si="4"/>
        <v/>
      </c>
      <c r="S111" t="str">
        <f t="shared" si="5"/>
        <v/>
      </c>
      <c r="T111">
        <f t="shared" si="6"/>
        <v>1</v>
      </c>
      <c r="U111">
        <f t="shared" si="7"/>
        <v>1</v>
      </c>
      <c r="V111">
        <f t="shared" si="8"/>
        <v>1</v>
      </c>
      <c r="W111" t="str">
        <f t="shared" si="9"/>
        <v/>
      </c>
    </row>
    <row r="112" spans="1:23" x14ac:dyDescent="0.35">
      <c r="A112" s="1" t="s">
        <v>359</v>
      </c>
      <c r="B112" s="1" t="s">
        <v>360</v>
      </c>
      <c r="C112" s="1" t="s">
        <v>865</v>
      </c>
      <c r="D112" s="1" t="s">
        <v>865</v>
      </c>
      <c r="E112" s="1" t="s">
        <v>361</v>
      </c>
      <c r="F112" s="1" t="s">
        <v>1013</v>
      </c>
      <c r="G112" s="1" t="s">
        <v>1074</v>
      </c>
      <c r="H112" t="str">
        <f>IF(ISNUMBER(SEARCH("Voiceless",A112)),0, IF(ISNUMBER(SEARCH("Voiced",A112)),1,""))</f>
        <v/>
      </c>
      <c r="P112">
        <f t="shared" si="2"/>
        <v>1</v>
      </c>
      <c r="Q112" t="str">
        <f t="shared" si="3"/>
        <v/>
      </c>
      <c r="R112" t="str">
        <f t="shared" si="4"/>
        <v/>
      </c>
      <c r="S112" t="str">
        <f t="shared" si="5"/>
        <v/>
      </c>
      <c r="T112">
        <f t="shared" si="6"/>
        <v>1</v>
      </c>
      <c r="U112">
        <f t="shared" si="7"/>
        <v>1</v>
      </c>
      <c r="V112">
        <f t="shared" si="8"/>
        <v>0</v>
      </c>
      <c r="W112" t="str">
        <f t="shared" si="9"/>
        <v/>
      </c>
    </row>
    <row r="113" spans="1:23" x14ac:dyDescent="0.35">
      <c r="A113" s="1" t="s">
        <v>359</v>
      </c>
      <c r="B113" s="1" t="s">
        <v>362</v>
      </c>
      <c r="C113" s="1" t="s">
        <v>866</v>
      </c>
      <c r="D113" s="1" t="s">
        <v>866</v>
      </c>
      <c r="E113" s="1" t="s">
        <v>363</v>
      </c>
      <c r="F113" s="1" t="s">
        <v>1013</v>
      </c>
      <c r="G113" s="1" t="s">
        <v>1074</v>
      </c>
      <c r="H113" t="str">
        <f>IF(ISNUMBER(SEARCH("Voiceless",A113)),0, IF(ISNUMBER(SEARCH("Voiced",A113)),1,""))</f>
        <v/>
      </c>
      <c r="P113">
        <f t="shared" si="2"/>
        <v>1</v>
      </c>
      <c r="Q113" t="str">
        <f t="shared" si="3"/>
        <v/>
      </c>
      <c r="R113" t="str">
        <f t="shared" si="4"/>
        <v/>
      </c>
      <c r="S113" t="str">
        <f t="shared" si="5"/>
        <v/>
      </c>
      <c r="T113">
        <f t="shared" si="6"/>
        <v>1</v>
      </c>
      <c r="U113">
        <f t="shared" si="7"/>
        <v>1</v>
      </c>
      <c r="V113">
        <f t="shared" si="8"/>
        <v>0</v>
      </c>
      <c r="W113" t="str">
        <f t="shared" si="9"/>
        <v/>
      </c>
    </row>
    <row r="114" spans="1:23" x14ac:dyDescent="0.35">
      <c r="A114" s="1" t="s">
        <v>364</v>
      </c>
      <c r="B114" s="1" t="s">
        <v>365</v>
      </c>
      <c r="C114" s="1" t="s">
        <v>867</v>
      </c>
      <c r="D114" s="1" t="s">
        <v>867</v>
      </c>
      <c r="E114" s="1" t="s">
        <v>366</v>
      </c>
      <c r="F114" s="1" t="s">
        <v>1013</v>
      </c>
      <c r="G114" s="1" t="s">
        <v>1074</v>
      </c>
      <c r="H114" t="str">
        <f>IF(ISNUMBER(SEARCH("Voiceless",A114)),0, IF(ISNUMBER(SEARCH("Voiced",A114)),1,""))</f>
        <v/>
      </c>
      <c r="P114" t="str">
        <f t="shared" si="2"/>
        <v/>
      </c>
      <c r="Q114">
        <f t="shared" si="3"/>
        <v>1</v>
      </c>
      <c r="R114" t="str">
        <f t="shared" si="4"/>
        <v/>
      </c>
      <c r="S114" t="str">
        <f t="shared" si="5"/>
        <v/>
      </c>
      <c r="T114">
        <f t="shared" si="6"/>
        <v>1</v>
      </c>
      <c r="U114">
        <f t="shared" si="7"/>
        <v>1</v>
      </c>
      <c r="V114">
        <f t="shared" si="8"/>
        <v>0</v>
      </c>
      <c r="W114">
        <f t="shared" si="9"/>
        <v>1</v>
      </c>
    </row>
    <row r="115" spans="1:23" x14ac:dyDescent="0.35">
      <c r="A115" s="1" t="s">
        <v>367</v>
      </c>
      <c r="B115" s="1" t="s">
        <v>368</v>
      </c>
      <c r="C115" s="1" t="s">
        <v>369</v>
      </c>
      <c r="D115" s="1" t="s">
        <v>369</v>
      </c>
      <c r="E115" s="1" t="s">
        <v>370</v>
      </c>
      <c r="F115" s="1" t="s">
        <v>1013</v>
      </c>
      <c r="G115" s="1" t="s">
        <v>1074</v>
      </c>
      <c r="H115" t="str">
        <f>IF(ISNUMBER(SEARCH("Voiceless",A115)),0, IF(ISNUMBER(SEARCH("Voiced",A115)),1,""))</f>
        <v/>
      </c>
      <c r="P115" t="str">
        <f t="shared" si="2"/>
        <v/>
      </c>
      <c r="Q115" t="str">
        <f t="shared" si="3"/>
        <v/>
      </c>
      <c r="R115">
        <f t="shared" si="4"/>
        <v>1</v>
      </c>
      <c r="S115" t="str">
        <f t="shared" si="5"/>
        <v/>
      </c>
      <c r="T115" t="str">
        <f t="shared" si="6"/>
        <v/>
      </c>
      <c r="U115">
        <f t="shared" si="7"/>
        <v>1</v>
      </c>
      <c r="V115">
        <f t="shared" si="8"/>
        <v>0</v>
      </c>
      <c r="W115" t="str">
        <f t="shared" si="9"/>
        <v/>
      </c>
    </row>
    <row r="116" spans="1:23" x14ac:dyDescent="0.35">
      <c r="A116" s="1" t="s">
        <v>371</v>
      </c>
      <c r="B116" s="1" t="s">
        <v>372</v>
      </c>
      <c r="C116" s="1" t="s">
        <v>868</v>
      </c>
      <c r="D116" s="1" t="s">
        <v>868</v>
      </c>
      <c r="E116" s="1" t="s">
        <v>373</v>
      </c>
      <c r="F116" s="1" t="s">
        <v>1013</v>
      </c>
      <c r="G116" s="1" t="s">
        <v>1074</v>
      </c>
      <c r="H116" t="str">
        <f>IF(ISNUMBER(SEARCH("Voiceless",A116)),0, IF(ISNUMBER(SEARCH("Voiced",A116)),1,""))</f>
        <v/>
      </c>
      <c r="P116" t="str">
        <f t="shared" si="2"/>
        <v/>
      </c>
      <c r="Q116">
        <f t="shared" si="3"/>
        <v>1</v>
      </c>
      <c r="R116" t="str">
        <f t="shared" si="4"/>
        <v/>
      </c>
      <c r="S116" t="str">
        <f t="shared" si="5"/>
        <v/>
      </c>
      <c r="T116" t="str">
        <f t="shared" si="6"/>
        <v/>
      </c>
      <c r="U116">
        <f t="shared" si="7"/>
        <v>1</v>
      </c>
      <c r="V116">
        <f t="shared" si="8"/>
        <v>0</v>
      </c>
      <c r="W116" t="str">
        <f t="shared" si="9"/>
        <v/>
      </c>
    </row>
    <row r="117" spans="1:23" x14ac:dyDescent="0.35">
      <c r="A117" s="1" t="s">
        <v>374</v>
      </c>
      <c r="B117" s="1" t="s">
        <v>375</v>
      </c>
      <c r="C117" s="1" t="s">
        <v>376</v>
      </c>
      <c r="D117" s="1" t="s">
        <v>376</v>
      </c>
      <c r="E117" s="1" t="s">
        <v>377</v>
      </c>
      <c r="F117" s="1" t="s">
        <v>1013</v>
      </c>
      <c r="G117" s="1" t="s">
        <v>1074</v>
      </c>
      <c r="H117" t="str">
        <f>IF(ISNUMBER(SEARCH("Voiceless",A117)),0, IF(ISNUMBER(SEARCH("Voiced",A117)),1,""))</f>
        <v/>
      </c>
      <c r="P117" t="str">
        <f t="shared" si="2"/>
        <v/>
      </c>
      <c r="Q117">
        <f t="shared" si="3"/>
        <v>1</v>
      </c>
      <c r="R117" t="str">
        <f t="shared" si="4"/>
        <v/>
      </c>
      <c r="S117" t="str">
        <f t="shared" si="5"/>
        <v/>
      </c>
      <c r="T117" t="str">
        <f t="shared" si="6"/>
        <v/>
      </c>
      <c r="U117">
        <f t="shared" si="7"/>
        <v>1</v>
      </c>
      <c r="V117">
        <f t="shared" si="8"/>
        <v>0</v>
      </c>
      <c r="W117" t="str">
        <f t="shared" si="9"/>
        <v/>
      </c>
    </row>
    <row r="118" spans="1:23" x14ac:dyDescent="0.35">
      <c r="A118" s="1" t="s">
        <v>378</v>
      </c>
      <c r="B118" s="1" t="s">
        <v>379</v>
      </c>
      <c r="C118" s="1" t="s">
        <v>869</v>
      </c>
      <c r="D118" s="1" t="s">
        <v>869</v>
      </c>
      <c r="E118" s="1" t="s">
        <v>380</v>
      </c>
      <c r="F118" s="1" t="s">
        <v>1013</v>
      </c>
      <c r="G118" s="1" t="s">
        <v>1074</v>
      </c>
      <c r="H118" t="str">
        <f>IF(ISNUMBER(SEARCH("Voiceless",A118)),0, IF(ISNUMBER(SEARCH("Voiced",A118)),1,""))</f>
        <v/>
      </c>
      <c r="P118" t="str">
        <f t="shared" si="2"/>
        <v/>
      </c>
      <c r="Q118" t="str">
        <f t="shared" si="3"/>
        <v/>
      </c>
      <c r="R118">
        <f t="shared" si="4"/>
        <v>1</v>
      </c>
      <c r="S118" t="str">
        <f t="shared" si="5"/>
        <v/>
      </c>
      <c r="T118" t="str">
        <f t="shared" si="6"/>
        <v/>
      </c>
      <c r="U118">
        <f t="shared" si="7"/>
        <v>1</v>
      </c>
      <c r="V118">
        <f t="shared" si="8"/>
        <v>1</v>
      </c>
      <c r="W118" t="str">
        <f t="shared" si="9"/>
        <v/>
      </c>
    </row>
    <row r="119" spans="1:23" x14ac:dyDescent="0.35">
      <c r="A119" s="1" t="s">
        <v>381</v>
      </c>
      <c r="B119" s="1" t="s">
        <v>382</v>
      </c>
      <c r="C119" s="1" t="s">
        <v>870</v>
      </c>
      <c r="D119" s="1" t="s">
        <v>870</v>
      </c>
      <c r="E119" s="1" t="s">
        <v>383</v>
      </c>
      <c r="F119" s="1" t="s">
        <v>1013</v>
      </c>
      <c r="G119" s="1" t="s">
        <v>1074</v>
      </c>
      <c r="H119" t="str">
        <f>IF(ISNUMBER(SEARCH("Voiceless",A119)),0, IF(ISNUMBER(SEARCH("Voiced",A119)),1,""))</f>
        <v/>
      </c>
      <c r="P119">
        <f t="shared" si="2"/>
        <v>1</v>
      </c>
      <c r="Q119" t="str">
        <f t="shared" si="3"/>
        <v/>
      </c>
      <c r="R119" t="str">
        <f t="shared" si="4"/>
        <v/>
      </c>
      <c r="S119" t="str">
        <f t="shared" si="5"/>
        <v/>
      </c>
      <c r="T119" t="str">
        <f t="shared" si="6"/>
        <v/>
      </c>
      <c r="U119">
        <f t="shared" si="7"/>
        <v>1</v>
      </c>
      <c r="V119">
        <f t="shared" si="8"/>
        <v>0</v>
      </c>
      <c r="W119" t="str">
        <f t="shared" si="9"/>
        <v/>
      </c>
    </row>
    <row r="120" spans="1:23" x14ac:dyDescent="0.35">
      <c r="A120" s="1" t="s">
        <v>384</v>
      </c>
      <c r="B120" s="1" t="s">
        <v>385</v>
      </c>
      <c r="C120" s="1" t="s">
        <v>871</v>
      </c>
      <c r="D120" s="1" t="s">
        <v>871</v>
      </c>
      <c r="E120" s="1" t="s">
        <v>386</v>
      </c>
      <c r="F120" s="1" t="s">
        <v>1013</v>
      </c>
      <c r="G120" s="1" t="s">
        <v>1074</v>
      </c>
      <c r="H120" t="str">
        <f>IF(ISNUMBER(SEARCH("Voiceless",A120)),0, IF(ISNUMBER(SEARCH("Voiced",A120)),1,""))</f>
        <v/>
      </c>
      <c r="P120">
        <f t="shared" si="2"/>
        <v>1</v>
      </c>
      <c r="Q120" t="str">
        <f t="shared" si="3"/>
        <v/>
      </c>
      <c r="R120" t="str">
        <f t="shared" si="4"/>
        <v/>
      </c>
      <c r="S120" t="str">
        <f t="shared" si="5"/>
        <v/>
      </c>
      <c r="T120" t="str">
        <f t="shared" si="6"/>
        <v/>
      </c>
      <c r="U120">
        <f t="shared" si="7"/>
        <v>1</v>
      </c>
      <c r="V120">
        <f t="shared" si="8"/>
        <v>1</v>
      </c>
      <c r="W120" t="str">
        <f t="shared" si="9"/>
        <v/>
      </c>
    </row>
    <row r="121" spans="1:23" x14ac:dyDescent="0.35">
      <c r="A121" s="1" t="s">
        <v>387</v>
      </c>
      <c r="B121" s="1" t="s">
        <v>388</v>
      </c>
      <c r="C121" s="1" t="s">
        <v>872</v>
      </c>
      <c r="D121" s="1" t="s">
        <v>872</v>
      </c>
      <c r="E121" s="1" t="s">
        <v>389</v>
      </c>
      <c r="F121" s="1" t="s">
        <v>1014</v>
      </c>
      <c r="G121" s="1" t="s">
        <v>1077</v>
      </c>
      <c r="H121" t="str">
        <f>IF(ISNUMBER(SEARCH("Voiceless",A121)),0, IF(ISNUMBER(SEARCH("Voiced",A121)),1,""))</f>
        <v/>
      </c>
    </row>
    <row r="122" spans="1:23" x14ac:dyDescent="0.35">
      <c r="A122" s="1" t="s">
        <v>390</v>
      </c>
      <c r="B122" s="1" t="s">
        <v>873</v>
      </c>
      <c r="C122" s="1" t="s">
        <v>874</v>
      </c>
      <c r="D122" s="1" t="s">
        <v>874</v>
      </c>
      <c r="E122" s="1" t="s">
        <v>391</v>
      </c>
      <c r="F122" s="1" t="s">
        <v>1014</v>
      </c>
      <c r="G122" s="1" t="s">
        <v>1077</v>
      </c>
      <c r="H122" t="str">
        <f>IF(ISNUMBER(SEARCH("Voiceless",A122)),0, IF(ISNUMBER(SEARCH("Voiced",A122)),1,""))</f>
        <v/>
      </c>
    </row>
    <row r="123" spans="1:23" x14ac:dyDescent="0.35">
      <c r="A123" s="1" t="s">
        <v>392</v>
      </c>
      <c r="B123" s="1" t="s">
        <v>393</v>
      </c>
      <c r="C123" s="1" t="s">
        <v>875</v>
      </c>
      <c r="D123" s="1" t="s">
        <v>875</v>
      </c>
      <c r="E123" s="1" t="s">
        <v>394</v>
      </c>
      <c r="F123" s="1" t="s">
        <v>1014</v>
      </c>
      <c r="G123" s="1" t="s">
        <v>1075</v>
      </c>
      <c r="H123" t="str">
        <f>IF(ISNUMBER(SEARCH("Voiceless",A123)),0, IF(ISNUMBER(SEARCH("Voiced",A123)),1,""))</f>
        <v/>
      </c>
    </row>
    <row r="124" spans="1:23" x14ac:dyDescent="0.35">
      <c r="A124" s="1" t="s">
        <v>395</v>
      </c>
      <c r="B124" s="1" t="s">
        <v>396</v>
      </c>
      <c r="C124" s="1" t="s">
        <v>1078</v>
      </c>
      <c r="D124" s="1" t="s">
        <v>876</v>
      </c>
      <c r="E124" s="1" t="s">
        <v>397</v>
      </c>
      <c r="F124" s="1" t="s">
        <v>1014</v>
      </c>
      <c r="G124" s="1" t="s">
        <v>1075</v>
      </c>
      <c r="H124" t="str">
        <f>IF(ISNUMBER(SEARCH("Voiceless",A124)),0, IF(ISNUMBER(SEARCH("Voiced",A124)),1,""))</f>
        <v/>
      </c>
    </row>
    <row r="125" spans="1:23" x14ac:dyDescent="0.35">
      <c r="A125" s="1" t="s">
        <v>395</v>
      </c>
      <c r="B125" s="1" t="s">
        <v>398</v>
      </c>
      <c r="C125" s="1" t="s">
        <v>1079</v>
      </c>
      <c r="D125" s="1" t="s">
        <v>877</v>
      </c>
      <c r="E125" s="1" t="s">
        <v>399</v>
      </c>
      <c r="F125" s="1" t="s">
        <v>1014</v>
      </c>
      <c r="G125" s="1" t="s">
        <v>1075</v>
      </c>
      <c r="H125" t="str">
        <f>IF(ISNUMBER(SEARCH("Voiceless",A125)),0, IF(ISNUMBER(SEARCH("Voiced",A125)),1,""))</f>
        <v/>
      </c>
    </row>
    <row r="126" spans="1:23" x14ac:dyDescent="0.35">
      <c r="A126" s="1" t="s">
        <v>400</v>
      </c>
      <c r="B126" s="1" t="s">
        <v>401</v>
      </c>
      <c r="C126" s="1" t="s">
        <v>402</v>
      </c>
      <c r="D126" s="1" t="s">
        <v>402</v>
      </c>
      <c r="E126" s="1" t="s">
        <v>403</v>
      </c>
      <c r="F126" s="1" t="s">
        <v>1014</v>
      </c>
      <c r="G126" s="1" t="s">
        <v>1077</v>
      </c>
      <c r="H126" t="str">
        <f>IF(ISNUMBER(SEARCH("Voiceless",A126)),0, IF(ISNUMBER(SEARCH("Voiced",A126)),1,""))</f>
        <v/>
      </c>
    </row>
    <row r="127" spans="1:23" x14ac:dyDescent="0.35">
      <c r="A127" s="1" t="s">
        <v>404</v>
      </c>
      <c r="B127" s="1" t="s">
        <v>405</v>
      </c>
      <c r="C127" s="1" t="s">
        <v>878</v>
      </c>
      <c r="D127" s="1" t="s">
        <v>878</v>
      </c>
      <c r="E127" s="1" t="s">
        <v>406</v>
      </c>
      <c r="F127" s="1" t="s">
        <v>1014</v>
      </c>
      <c r="G127" s="1" t="s">
        <v>1077</v>
      </c>
      <c r="H127" t="str">
        <f>IF(ISNUMBER(SEARCH("Voiceless",A127)),0, IF(ISNUMBER(SEARCH("Voiced",A127)),1,""))</f>
        <v/>
      </c>
    </row>
    <row r="128" spans="1:23" x14ac:dyDescent="0.35">
      <c r="A128" s="1" t="s">
        <v>407</v>
      </c>
      <c r="B128" s="1" t="s">
        <v>408</v>
      </c>
      <c r="C128" s="1" t="s">
        <v>879</v>
      </c>
      <c r="D128" s="1" t="s">
        <v>879</v>
      </c>
      <c r="E128" s="1" t="s">
        <v>409</v>
      </c>
      <c r="F128" s="1" t="s">
        <v>1014</v>
      </c>
      <c r="G128" s="1" t="s">
        <v>1075</v>
      </c>
      <c r="H128" t="str">
        <f>IF(ISNUMBER(SEARCH("Voiceless",A128)),0, IF(ISNUMBER(SEARCH("Voiced",A128)),1,""))</f>
        <v/>
      </c>
    </row>
    <row r="129" spans="1:8" x14ac:dyDescent="0.35">
      <c r="A129" s="1" t="s">
        <v>410</v>
      </c>
      <c r="B129" s="1" t="s">
        <v>411</v>
      </c>
      <c r="C129" t="s">
        <v>1015</v>
      </c>
      <c r="D129" t="s">
        <v>1015</v>
      </c>
      <c r="E129" s="1" t="s">
        <v>412</v>
      </c>
      <c r="F129" s="1" t="s">
        <v>1014</v>
      </c>
      <c r="G129" s="1" t="s">
        <v>1075</v>
      </c>
      <c r="H129" t="str">
        <f>IF(ISNUMBER(SEARCH("Voiceless",A129)),0, IF(ISNUMBER(SEARCH("Voiced",A129)),1,""))</f>
        <v/>
      </c>
    </row>
    <row r="130" spans="1:8" x14ac:dyDescent="0.35">
      <c r="A130" s="1" t="s">
        <v>413</v>
      </c>
      <c r="B130" s="1" t="s">
        <v>414</v>
      </c>
      <c r="C130" s="1" t="s">
        <v>1080</v>
      </c>
      <c r="D130" s="1" t="s">
        <v>880</v>
      </c>
      <c r="E130" s="1" t="s">
        <v>415</v>
      </c>
      <c r="F130" s="1" t="s">
        <v>1017</v>
      </c>
      <c r="G130" s="1" t="s">
        <v>1075</v>
      </c>
      <c r="H130" t="str">
        <f>IF(ISNUMBER(SEARCH("Voiceless",A130)),0, IF(ISNUMBER(SEARCH("Voiced",A130)),1,""))</f>
        <v/>
      </c>
    </row>
    <row r="131" spans="1:8" x14ac:dyDescent="0.35">
      <c r="A131" s="1" t="s">
        <v>416</v>
      </c>
      <c r="B131" s="1" t="s">
        <v>414</v>
      </c>
      <c r="C131" s="1" t="s">
        <v>1081</v>
      </c>
      <c r="D131" s="1" t="s">
        <v>881</v>
      </c>
      <c r="E131" s="1" t="s">
        <v>417</v>
      </c>
      <c r="F131" s="1" t="s">
        <v>1017</v>
      </c>
      <c r="G131" s="1" t="s">
        <v>1076</v>
      </c>
      <c r="H131" t="str">
        <f t="shared" ref="H131:H194" si="10">IF(ISNUMBER(SEARCH("Voiceless",A131)),0, IF(ISNUMBER(SEARCH("Voiced",A131)),1,""))</f>
        <v/>
      </c>
    </row>
    <row r="132" spans="1:8" x14ac:dyDescent="0.35">
      <c r="A132" s="1" t="s">
        <v>418</v>
      </c>
      <c r="B132" s="1" t="s">
        <v>419</v>
      </c>
      <c r="C132" s="1" t="s">
        <v>1082</v>
      </c>
      <c r="D132" s="1" t="s">
        <v>882</v>
      </c>
      <c r="E132" s="1" t="s">
        <v>420</v>
      </c>
      <c r="F132" s="1" t="s">
        <v>1017</v>
      </c>
      <c r="G132" s="1" t="s">
        <v>1075</v>
      </c>
      <c r="H132" t="str">
        <f t="shared" si="10"/>
        <v/>
      </c>
    </row>
    <row r="133" spans="1:8" x14ac:dyDescent="0.35">
      <c r="A133" s="1" t="s">
        <v>421</v>
      </c>
      <c r="B133" s="1" t="s">
        <v>422</v>
      </c>
      <c r="C133" s="1" t="s">
        <v>1083</v>
      </c>
      <c r="D133" s="1" t="s">
        <v>883</v>
      </c>
      <c r="E133" s="1" t="s">
        <v>423</v>
      </c>
      <c r="F133" s="1" t="s">
        <v>1017</v>
      </c>
      <c r="G133" s="1" t="s">
        <v>1075</v>
      </c>
      <c r="H133" t="str">
        <f t="shared" si="10"/>
        <v/>
      </c>
    </row>
    <row r="134" spans="1:8" x14ac:dyDescent="0.35">
      <c r="A134" s="1" t="s">
        <v>424</v>
      </c>
      <c r="B134" s="1" t="s">
        <v>425</v>
      </c>
      <c r="C134" s="1" t="s">
        <v>1084</v>
      </c>
      <c r="D134" s="1" t="s">
        <v>884</v>
      </c>
      <c r="E134" s="1" t="s">
        <v>426</v>
      </c>
      <c r="F134" s="1" t="s">
        <v>1017</v>
      </c>
      <c r="G134" s="1" t="s">
        <v>1075</v>
      </c>
      <c r="H134" t="str">
        <f t="shared" si="10"/>
        <v/>
      </c>
    </row>
    <row r="135" spans="1:8" x14ac:dyDescent="0.35">
      <c r="A135" s="1"/>
      <c r="B135" s="1" t="s">
        <v>427</v>
      </c>
      <c r="C135" s="1" t="s">
        <v>1085</v>
      </c>
      <c r="D135" s="1" t="s">
        <v>885</v>
      </c>
      <c r="E135" s="1" t="s">
        <v>428</v>
      </c>
      <c r="F135" s="1" t="s">
        <v>1017</v>
      </c>
      <c r="G135" s="1" t="s">
        <v>1075</v>
      </c>
      <c r="H135" t="str">
        <f t="shared" si="10"/>
        <v/>
      </c>
    </row>
    <row r="136" spans="1:8" x14ac:dyDescent="0.35">
      <c r="A136" s="1" t="s">
        <v>429</v>
      </c>
      <c r="B136" s="1" t="s">
        <v>430</v>
      </c>
      <c r="C136" s="1" t="s">
        <v>1086</v>
      </c>
      <c r="D136" s="1" t="s">
        <v>886</v>
      </c>
      <c r="E136" s="1" t="s">
        <v>431</v>
      </c>
      <c r="F136" s="1" t="s">
        <v>1017</v>
      </c>
      <c r="G136" s="1" t="s">
        <v>1075</v>
      </c>
      <c r="H136" t="str">
        <f t="shared" si="10"/>
        <v/>
      </c>
    </row>
    <row r="137" spans="1:8" x14ac:dyDescent="0.35">
      <c r="A137" s="1" t="s">
        <v>432</v>
      </c>
      <c r="B137" s="1" t="s">
        <v>433</v>
      </c>
      <c r="C137" s="1" t="s">
        <v>1087</v>
      </c>
      <c r="D137" s="1" t="s">
        <v>887</v>
      </c>
      <c r="E137" s="1" t="s">
        <v>434</v>
      </c>
      <c r="F137" s="1" t="s">
        <v>1017</v>
      </c>
      <c r="G137" s="1" t="s">
        <v>1075</v>
      </c>
      <c r="H137" t="str">
        <f t="shared" si="10"/>
        <v/>
      </c>
    </row>
    <row r="138" spans="1:8" x14ac:dyDescent="0.35">
      <c r="A138" s="1" t="s">
        <v>435</v>
      </c>
      <c r="B138" s="1" t="s">
        <v>436</v>
      </c>
      <c r="C138" s="1" t="s">
        <v>1088</v>
      </c>
      <c r="D138" s="1" t="s">
        <v>888</v>
      </c>
      <c r="E138" s="1" t="s">
        <v>437</v>
      </c>
      <c r="F138" s="1" t="s">
        <v>1017</v>
      </c>
      <c r="G138" s="1" t="s">
        <v>1075</v>
      </c>
      <c r="H138" t="str">
        <f t="shared" si="10"/>
        <v/>
      </c>
    </row>
    <row r="139" spans="1:8" x14ac:dyDescent="0.35">
      <c r="A139" s="1" t="s">
        <v>438</v>
      </c>
      <c r="B139" s="1" t="s">
        <v>439</v>
      </c>
      <c r="C139" s="1" t="s">
        <v>1089</v>
      </c>
      <c r="D139" s="1" t="s">
        <v>889</v>
      </c>
      <c r="E139" s="1" t="s">
        <v>440</v>
      </c>
      <c r="F139" s="1" t="s">
        <v>1017</v>
      </c>
      <c r="G139" s="1" t="s">
        <v>1075</v>
      </c>
      <c r="H139" t="str">
        <f t="shared" si="10"/>
        <v/>
      </c>
    </row>
    <row r="140" spans="1:8" x14ac:dyDescent="0.35">
      <c r="A140" s="1" t="s">
        <v>441</v>
      </c>
      <c r="B140" s="1" t="s">
        <v>442</v>
      </c>
      <c r="C140" s="1" t="s">
        <v>1090</v>
      </c>
      <c r="D140" s="1" t="s">
        <v>890</v>
      </c>
      <c r="E140" s="1" t="s">
        <v>443</v>
      </c>
      <c r="F140" s="1" t="s">
        <v>1017</v>
      </c>
      <c r="G140" s="1" t="s">
        <v>1075</v>
      </c>
      <c r="H140" t="str">
        <f t="shared" si="10"/>
        <v/>
      </c>
    </row>
    <row r="141" spans="1:8" x14ac:dyDescent="0.35">
      <c r="A141" s="1" t="s">
        <v>444</v>
      </c>
      <c r="B141" s="1" t="s">
        <v>445</v>
      </c>
      <c r="C141" s="1" t="s">
        <v>1091</v>
      </c>
      <c r="D141" s="1" t="s">
        <v>891</v>
      </c>
      <c r="E141" s="1" t="s">
        <v>446</v>
      </c>
      <c r="F141" s="1" t="s">
        <v>1017</v>
      </c>
      <c r="G141" s="1" t="s">
        <v>1076</v>
      </c>
      <c r="H141" t="str">
        <f t="shared" si="10"/>
        <v/>
      </c>
    </row>
    <row r="142" spans="1:8" x14ac:dyDescent="0.35">
      <c r="A142" s="1" t="s">
        <v>447</v>
      </c>
      <c r="B142" s="1" t="s">
        <v>448</v>
      </c>
      <c r="C142" s="1" t="s">
        <v>1092</v>
      </c>
      <c r="D142" s="1" t="s">
        <v>892</v>
      </c>
      <c r="E142" s="1" t="s">
        <v>449</v>
      </c>
      <c r="F142" s="1" t="s">
        <v>1017</v>
      </c>
      <c r="G142" s="1" t="s">
        <v>1076</v>
      </c>
      <c r="H142" t="str">
        <f t="shared" si="10"/>
        <v/>
      </c>
    </row>
    <row r="143" spans="1:8" x14ac:dyDescent="0.35">
      <c r="A143" s="1" t="s">
        <v>450</v>
      </c>
      <c r="B143" s="1" t="s">
        <v>451</v>
      </c>
      <c r="C143" s="1" t="s">
        <v>1093</v>
      </c>
      <c r="D143" s="1" t="s">
        <v>893</v>
      </c>
      <c r="E143" s="1" t="s">
        <v>452</v>
      </c>
      <c r="F143" s="1" t="s">
        <v>1017</v>
      </c>
      <c r="G143" s="1" t="s">
        <v>1076</v>
      </c>
      <c r="H143" t="str">
        <f t="shared" si="10"/>
        <v/>
      </c>
    </row>
    <row r="144" spans="1:8" x14ac:dyDescent="0.35">
      <c r="A144" s="1" t="s">
        <v>453</v>
      </c>
      <c r="B144" s="1" t="s">
        <v>451</v>
      </c>
      <c r="C144" s="1" t="s">
        <v>1094</v>
      </c>
      <c r="D144" s="1" t="s">
        <v>894</v>
      </c>
      <c r="E144" s="1" t="s">
        <v>454</v>
      </c>
      <c r="F144" s="1" t="s">
        <v>1017</v>
      </c>
      <c r="G144" s="1" t="s">
        <v>1075</v>
      </c>
      <c r="H144" t="str">
        <f t="shared" si="10"/>
        <v/>
      </c>
    </row>
    <row r="145" spans="1:8" x14ac:dyDescent="0.35">
      <c r="A145" s="1" t="s">
        <v>455</v>
      </c>
      <c r="B145" s="1" t="s">
        <v>456</v>
      </c>
      <c r="C145" s="1" t="s">
        <v>1095</v>
      </c>
      <c r="D145" s="1" t="s">
        <v>895</v>
      </c>
      <c r="E145" s="1" t="s">
        <v>457</v>
      </c>
      <c r="F145" s="1" t="s">
        <v>1017</v>
      </c>
      <c r="G145" s="1" t="s">
        <v>1076</v>
      </c>
      <c r="H145" t="str">
        <f t="shared" si="10"/>
        <v/>
      </c>
    </row>
    <row r="146" spans="1:8" x14ac:dyDescent="0.35">
      <c r="A146" s="1" t="s">
        <v>458</v>
      </c>
      <c r="B146" s="1" t="s">
        <v>459</v>
      </c>
      <c r="C146" s="1" t="s">
        <v>1096</v>
      </c>
      <c r="D146" s="1" t="s">
        <v>896</v>
      </c>
      <c r="E146" s="1" t="s">
        <v>460</v>
      </c>
      <c r="F146" s="1" t="s">
        <v>1017</v>
      </c>
      <c r="G146" s="1" t="s">
        <v>1076</v>
      </c>
      <c r="H146" t="str">
        <f t="shared" si="10"/>
        <v/>
      </c>
    </row>
    <row r="147" spans="1:8" x14ac:dyDescent="0.35">
      <c r="A147" s="1" t="s">
        <v>461</v>
      </c>
      <c r="B147" s="1" t="s">
        <v>462</v>
      </c>
      <c r="C147" s="1" t="s">
        <v>1097</v>
      </c>
      <c r="D147" s="1" t="s">
        <v>897</v>
      </c>
      <c r="E147" s="1" t="s">
        <v>463</v>
      </c>
      <c r="F147" s="1" t="s">
        <v>1017</v>
      </c>
      <c r="G147" s="1" t="s">
        <v>1076</v>
      </c>
      <c r="H147" t="str">
        <f t="shared" si="10"/>
        <v/>
      </c>
    </row>
    <row r="148" spans="1:8" x14ac:dyDescent="0.35">
      <c r="A148" s="1" t="s">
        <v>464</v>
      </c>
      <c r="B148" s="1" t="s">
        <v>465</v>
      </c>
      <c r="C148" s="1" t="s">
        <v>1098</v>
      </c>
      <c r="D148" s="1" t="s">
        <v>898</v>
      </c>
      <c r="E148" s="1" t="s">
        <v>466</v>
      </c>
      <c r="F148" s="1" t="s">
        <v>1017</v>
      </c>
      <c r="G148" s="1" t="s">
        <v>1076</v>
      </c>
      <c r="H148" t="str">
        <f t="shared" si="10"/>
        <v/>
      </c>
    </row>
    <row r="149" spans="1:8" x14ac:dyDescent="0.35">
      <c r="A149" s="1" t="s">
        <v>467</v>
      </c>
      <c r="B149" s="1" t="s">
        <v>468</v>
      </c>
      <c r="C149" s="1" t="s">
        <v>1099</v>
      </c>
      <c r="D149" s="1" t="s">
        <v>899</v>
      </c>
      <c r="E149" s="1" t="s">
        <v>469</v>
      </c>
      <c r="F149" s="1" t="s">
        <v>1017</v>
      </c>
      <c r="G149" s="1" t="s">
        <v>1075</v>
      </c>
      <c r="H149" t="str">
        <f t="shared" si="10"/>
        <v/>
      </c>
    </row>
    <row r="150" spans="1:8" x14ac:dyDescent="0.35">
      <c r="A150" s="1" t="s">
        <v>470</v>
      </c>
      <c r="B150" s="1" t="s">
        <v>471</v>
      </c>
      <c r="C150" s="1" t="s">
        <v>1100</v>
      </c>
      <c r="D150" s="1" t="s">
        <v>900</v>
      </c>
      <c r="E150" s="1" t="s">
        <v>472</v>
      </c>
      <c r="F150" s="1" t="s">
        <v>1017</v>
      </c>
      <c r="G150" s="1" t="s">
        <v>1075</v>
      </c>
      <c r="H150" t="str">
        <f t="shared" si="10"/>
        <v/>
      </c>
    </row>
    <row r="151" spans="1:8" x14ac:dyDescent="0.35">
      <c r="A151" s="1" t="s">
        <v>473</v>
      </c>
      <c r="B151" s="1" t="s">
        <v>474</v>
      </c>
      <c r="C151" s="1" t="s">
        <v>1101</v>
      </c>
      <c r="D151" s="1" t="s">
        <v>901</v>
      </c>
      <c r="E151" s="1" t="s">
        <v>475</v>
      </c>
      <c r="F151" s="1" t="s">
        <v>1017</v>
      </c>
      <c r="G151" s="1" t="s">
        <v>1075</v>
      </c>
      <c r="H151" t="str">
        <f t="shared" si="10"/>
        <v/>
      </c>
    </row>
    <row r="152" spans="1:8" x14ac:dyDescent="0.35">
      <c r="A152" s="1" t="s">
        <v>476</v>
      </c>
      <c r="B152" s="1" t="s">
        <v>477</v>
      </c>
      <c r="C152" s="1" t="s">
        <v>1102</v>
      </c>
      <c r="D152" s="1" t="s">
        <v>902</v>
      </c>
      <c r="E152" s="1" t="s">
        <v>478</v>
      </c>
      <c r="F152" s="1" t="s">
        <v>1017</v>
      </c>
      <c r="G152" s="1" t="s">
        <v>1075</v>
      </c>
      <c r="H152" t="str">
        <f t="shared" si="10"/>
        <v/>
      </c>
    </row>
    <row r="153" spans="1:8" x14ac:dyDescent="0.35">
      <c r="A153" s="1" t="s">
        <v>479</v>
      </c>
      <c r="B153" s="1" t="s">
        <v>480</v>
      </c>
      <c r="C153" s="1" t="s">
        <v>1103</v>
      </c>
      <c r="D153" s="1" t="s">
        <v>903</v>
      </c>
      <c r="E153" s="1" t="s">
        <v>481</v>
      </c>
      <c r="F153" s="1" t="s">
        <v>1017</v>
      </c>
      <c r="G153" s="1" t="s">
        <v>1075</v>
      </c>
      <c r="H153" t="str">
        <f t="shared" si="10"/>
        <v/>
      </c>
    </row>
    <row r="154" spans="1:8" x14ac:dyDescent="0.35">
      <c r="A154" s="1" t="s">
        <v>482</v>
      </c>
      <c r="B154" s="1" t="s">
        <v>483</v>
      </c>
      <c r="C154" s="1" t="s">
        <v>1104</v>
      </c>
      <c r="D154" s="1" t="s">
        <v>904</v>
      </c>
      <c r="E154" s="1" t="s">
        <v>484</v>
      </c>
      <c r="F154" s="1" t="s">
        <v>1017</v>
      </c>
      <c r="G154" s="1" t="s">
        <v>1075</v>
      </c>
      <c r="H154" t="str">
        <f t="shared" si="10"/>
        <v/>
      </c>
    </row>
    <row r="155" spans="1:8" x14ac:dyDescent="0.35">
      <c r="A155" s="1" t="s">
        <v>485</v>
      </c>
      <c r="B155" s="1" t="s">
        <v>486</v>
      </c>
      <c r="C155" s="1" t="s">
        <v>1105</v>
      </c>
      <c r="D155" s="1" t="s">
        <v>905</v>
      </c>
      <c r="E155" s="1" t="s">
        <v>487</v>
      </c>
      <c r="F155" s="1" t="s">
        <v>1017</v>
      </c>
      <c r="G155" s="1" t="s">
        <v>1075</v>
      </c>
      <c r="H155" t="str">
        <f t="shared" si="10"/>
        <v/>
      </c>
    </row>
    <row r="156" spans="1:8" x14ac:dyDescent="0.35">
      <c r="A156" s="1" t="s">
        <v>488</v>
      </c>
      <c r="B156" s="1" t="s">
        <v>489</v>
      </c>
      <c r="C156" s="1" t="s">
        <v>1106</v>
      </c>
      <c r="D156" s="1" t="s">
        <v>906</v>
      </c>
      <c r="E156" s="1" t="s">
        <v>490</v>
      </c>
      <c r="F156" s="1" t="s">
        <v>1018</v>
      </c>
      <c r="G156" s="1" t="s">
        <v>1075</v>
      </c>
      <c r="H156" t="str">
        <f t="shared" si="10"/>
        <v/>
      </c>
    </row>
    <row r="157" spans="1:8" x14ac:dyDescent="0.35">
      <c r="A157" s="1" t="s">
        <v>491</v>
      </c>
      <c r="B157" s="1" t="s">
        <v>492</v>
      </c>
      <c r="C157" s="1" t="s">
        <v>1107</v>
      </c>
      <c r="D157" s="1" t="s">
        <v>907</v>
      </c>
      <c r="E157" s="1" t="s">
        <v>493</v>
      </c>
      <c r="F157" s="1" t="s">
        <v>1018</v>
      </c>
      <c r="G157" s="1" t="s">
        <v>1075</v>
      </c>
      <c r="H157" t="str">
        <f t="shared" si="10"/>
        <v/>
      </c>
    </row>
    <row r="158" spans="1:8" x14ac:dyDescent="0.35">
      <c r="A158" s="1" t="s">
        <v>494</v>
      </c>
      <c r="B158" s="1" t="s">
        <v>495</v>
      </c>
      <c r="C158" s="1" t="s">
        <v>1108</v>
      </c>
      <c r="D158" s="1" t="s">
        <v>908</v>
      </c>
      <c r="E158" s="1" t="s">
        <v>496</v>
      </c>
      <c r="F158" s="1" t="s">
        <v>1018</v>
      </c>
      <c r="G158" s="1" t="s">
        <v>1075</v>
      </c>
      <c r="H158" t="str">
        <f t="shared" si="10"/>
        <v/>
      </c>
    </row>
    <row r="159" spans="1:8" x14ac:dyDescent="0.35">
      <c r="A159" s="1" t="s">
        <v>497</v>
      </c>
      <c r="B159" s="1" t="s">
        <v>498</v>
      </c>
      <c r="C159" s="1" t="s">
        <v>1109</v>
      </c>
      <c r="D159" s="1" t="s">
        <v>909</v>
      </c>
      <c r="E159" s="1" t="s">
        <v>499</v>
      </c>
      <c r="F159" s="1" t="s">
        <v>1018</v>
      </c>
      <c r="G159" s="1" t="s">
        <v>1075</v>
      </c>
      <c r="H159">
        <f t="shared" si="10"/>
        <v>1</v>
      </c>
    </row>
    <row r="160" spans="1:8" x14ac:dyDescent="0.35">
      <c r="A160" s="1" t="s">
        <v>500</v>
      </c>
      <c r="B160" s="1" t="s">
        <v>501</v>
      </c>
      <c r="C160" s="1" t="s">
        <v>1110</v>
      </c>
      <c r="D160" s="1" t="s">
        <v>910</v>
      </c>
      <c r="E160" s="1" t="s">
        <v>502</v>
      </c>
      <c r="F160" s="1" t="s">
        <v>1018</v>
      </c>
      <c r="G160" s="1" t="s">
        <v>1075</v>
      </c>
      <c r="H160">
        <f t="shared" si="10"/>
        <v>0</v>
      </c>
    </row>
    <row r="161" spans="1:8" x14ac:dyDescent="0.35">
      <c r="A161" s="1" t="s">
        <v>503</v>
      </c>
      <c r="B161" s="1" t="s">
        <v>504</v>
      </c>
      <c r="C161" s="1" t="s">
        <v>1111</v>
      </c>
      <c r="D161" s="1" t="s">
        <v>911</v>
      </c>
      <c r="E161" s="1" t="s">
        <v>505</v>
      </c>
      <c r="F161" s="1" t="s">
        <v>1018</v>
      </c>
      <c r="G161" s="1" t="s">
        <v>1075</v>
      </c>
      <c r="H161" t="str">
        <f t="shared" si="10"/>
        <v/>
      </c>
    </row>
    <row r="162" spans="1:8" x14ac:dyDescent="0.35">
      <c r="A162" s="1" t="s">
        <v>506</v>
      </c>
      <c r="B162" s="1" t="s">
        <v>507</v>
      </c>
      <c r="C162" s="1" t="s">
        <v>1112</v>
      </c>
      <c r="D162" s="1" t="s">
        <v>912</v>
      </c>
      <c r="E162" s="1" t="s">
        <v>508</v>
      </c>
      <c r="F162" s="1" t="s">
        <v>1018</v>
      </c>
      <c r="G162" s="1" t="s">
        <v>1075</v>
      </c>
      <c r="H162" t="str">
        <f t="shared" si="10"/>
        <v/>
      </c>
    </row>
    <row r="163" spans="1:8" x14ac:dyDescent="0.35">
      <c r="A163" s="1" t="s">
        <v>509</v>
      </c>
      <c r="B163" s="1" t="s">
        <v>510</v>
      </c>
      <c r="C163" s="1" t="s">
        <v>1113</v>
      </c>
      <c r="D163" s="1" t="s">
        <v>913</v>
      </c>
      <c r="E163" s="1" t="s">
        <v>511</v>
      </c>
      <c r="F163" s="1" t="s">
        <v>1018</v>
      </c>
      <c r="G163" s="1" t="s">
        <v>1075</v>
      </c>
      <c r="H163" t="str">
        <f t="shared" si="10"/>
        <v/>
      </c>
    </row>
    <row r="164" spans="1:8" x14ac:dyDescent="0.35">
      <c r="A164" s="1" t="s">
        <v>512</v>
      </c>
      <c r="B164" s="1" t="s">
        <v>513</v>
      </c>
      <c r="C164" s="1" t="s">
        <v>1114</v>
      </c>
      <c r="D164" s="1" t="s">
        <v>914</v>
      </c>
      <c r="E164" s="1" t="s">
        <v>514</v>
      </c>
      <c r="F164" s="1" t="s">
        <v>1018</v>
      </c>
      <c r="G164" s="1" t="s">
        <v>1075</v>
      </c>
      <c r="H164" t="str">
        <f t="shared" si="10"/>
        <v/>
      </c>
    </row>
    <row r="165" spans="1:8" x14ac:dyDescent="0.35">
      <c r="A165" s="1" t="s">
        <v>515</v>
      </c>
      <c r="B165" s="1" t="s">
        <v>516</v>
      </c>
      <c r="C165" s="1" t="s">
        <v>1115</v>
      </c>
      <c r="D165" s="1" t="s">
        <v>915</v>
      </c>
      <c r="E165" s="1" t="s">
        <v>517</v>
      </c>
      <c r="F165" s="1" t="s">
        <v>1018</v>
      </c>
      <c r="G165" s="1" t="s">
        <v>1075</v>
      </c>
      <c r="H165" t="str">
        <f t="shared" si="10"/>
        <v/>
      </c>
    </row>
    <row r="166" spans="1:8" x14ac:dyDescent="0.35">
      <c r="A166" s="1" t="s">
        <v>518</v>
      </c>
      <c r="B166" s="1" t="s">
        <v>519</v>
      </c>
      <c r="C166" s="1" t="s">
        <v>1116</v>
      </c>
      <c r="D166" s="1" t="s">
        <v>916</v>
      </c>
      <c r="E166" s="1" t="s">
        <v>520</v>
      </c>
      <c r="F166" s="1" t="s">
        <v>1018</v>
      </c>
      <c r="G166" s="1" t="s">
        <v>1075</v>
      </c>
      <c r="H166">
        <f t="shared" si="10"/>
        <v>1</v>
      </c>
    </row>
    <row r="167" spans="1:8" x14ac:dyDescent="0.35">
      <c r="A167" s="1" t="s">
        <v>521</v>
      </c>
      <c r="B167" s="1" t="s">
        <v>522</v>
      </c>
      <c r="C167" s="1" t="s">
        <v>1117</v>
      </c>
      <c r="D167" s="1" t="s">
        <v>917</v>
      </c>
      <c r="E167" s="1" t="s">
        <v>523</v>
      </c>
      <c r="F167" s="1" t="s">
        <v>1018</v>
      </c>
      <c r="G167" s="1" t="s">
        <v>1075</v>
      </c>
      <c r="H167" t="str">
        <f t="shared" si="10"/>
        <v/>
      </c>
    </row>
    <row r="168" spans="1:8" x14ac:dyDescent="0.35">
      <c r="A168" s="1" t="s">
        <v>524</v>
      </c>
      <c r="B168" s="1" t="s">
        <v>525</v>
      </c>
      <c r="C168" s="1" t="s">
        <v>1118</v>
      </c>
      <c r="D168" s="1" t="s">
        <v>918</v>
      </c>
      <c r="E168" s="1" t="s">
        <v>526</v>
      </c>
      <c r="F168" s="1" t="s">
        <v>1018</v>
      </c>
      <c r="G168" s="1" t="s">
        <v>1075</v>
      </c>
      <c r="H168" t="str">
        <f t="shared" si="10"/>
        <v/>
      </c>
    </row>
    <row r="169" spans="1:8" x14ac:dyDescent="0.35">
      <c r="A169" s="1" t="s">
        <v>527</v>
      </c>
      <c r="B169" s="1" t="s">
        <v>528</v>
      </c>
      <c r="C169" s="1" t="s">
        <v>1119</v>
      </c>
      <c r="D169" s="1" t="s">
        <v>919</v>
      </c>
      <c r="E169" s="1" t="s">
        <v>529</v>
      </c>
      <c r="F169" s="1" t="s">
        <v>1018</v>
      </c>
      <c r="G169" s="1" t="s">
        <v>1075</v>
      </c>
      <c r="H169" t="str">
        <f t="shared" si="10"/>
        <v/>
      </c>
    </row>
    <row r="170" spans="1:8" x14ac:dyDescent="0.35">
      <c r="A170" s="1" t="s">
        <v>530</v>
      </c>
      <c r="B170" s="1" t="s">
        <v>531</v>
      </c>
      <c r="C170" s="1" t="s">
        <v>1120</v>
      </c>
      <c r="D170" s="1" t="s">
        <v>920</v>
      </c>
      <c r="E170" s="1" t="s">
        <v>532</v>
      </c>
      <c r="F170" s="1" t="s">
        <v>1018</v>
      </c>
      <c r="G170" s="1" t="s">
        <v>1075</v>
      </c>
      <c r="H170">
        <f t="shared" si="10"/>
        <v>1</v>
      </c>
    </row>
    <row r="171" spans="1:8" x14ac:dyDescent="0.35">
      <c r="A171" s="1" t="s">
        <v>533</v>
      </c>
      <c r="B171" s="1" t="s">
        <v>534</v>
      </c>
      <c r="C171" s="1" t="s">
        <v>1121</v>
      </c>
      <c r="D171" s="1" t="s">
        <v>921</v>
      </c>
      <c r="E171" s="1" t="s">
        <v>535</v>
      </c>
      <c r="F171" s="1" t="s">
        <v>1018</v>
      </c>
      <c r="G171" s="1" t="s">
        <v>1075</v>
      </c>
      <c r="H171" t="str">
        <f t="shared" si="10"/>
        <v/>
      </c>
    </row>
    <row r="172" spans="1:8" x14ac:dyDescent="0.35">
      <c r="A172" s="1" t="s">
        <v>536</v>
      </c>
      <c r="B172" s="1" t="s">
        <v>537</v>
      </c>
      <c r="C172" s="1" t="s">
        <v>1122</v>
      </c>
      <c r="D172" s="1" t="s">
        <v>922</v>
      </c>
      <c r="E172" s="1" t="s">
        <v>538</v>
      </c>
      <c r="F172" s="1" t="s">
        <v>1018</v>
      </c>
      <c r="G172" s="1" t="s">
        <v>1075</v>
      </c>
      <c r="H172" t="str">
        <f t="shared" si="10"/>
        <v/>
      </c>
    </row>
    <row r="173" spans="1:8" x14ac:dyDescent="0.35">
      <c r="A173" s="1" t="s">
        <v>539</v>
      </c>
      <c r="B173" s="1" t="s">
        <v>540</v>
      </c>
      <c r="C173" s="1" t="s">
        <v>1123</v>
      </c>
      <c r="D173" s="1" t="s">
        <v>923</v>
      </c>
      <c r="E173" s="1" t="s">
        <v>541</v>
      </c>
      <c r="F173" s="1" t="s">
        <v>1018</v>
      </c>
      <c r="G173" s="1" t="s">
        <v>1075</v>
      </c>
      <c r="H173" t="str">
        <f t="shared" si="10"/>
        <v/>
      </c>
    </row>
    <row r="174" spans="1:8" x14ac:dyDescent="0.35">
      <c r="A174" s="1" t="s">
        <v>542</v>
      </c>
      <c r="B174" s="1" t="s">
        <v>543</v>
      </c>
      <c r="C174" s="1" t="s">
        <v>1124</v>
      </c>
      <c r="D174" s="1" t="s">
        <v>924</v>
      </c>
      <c r="E174" s="1" t="s">
        <v>544</v>
      </c>
      <c r="F174" s="1" t="s">
        <v>1018</v>
      </c>
      <c r="G174" s="1" t="s">
        <v>1075</v>
      </c>
      <c r="H174" t="str">
        <f t="shared" si="10"/>
        <v/>
      </c>
    </row>
    <row r="175" spans="1:8" x14ac:dyDescent="0.35">
      <c r="A175" s="1" t="s">
        <v>545</v>
      </c>
      <c r="B175" s="1" t="s">
        <v>546</v>
      </c>
      <c r="C175" s="1" t="s">
        <v>1125</v>
      </c>
      <c r="D175" s="1" t="s">
        <v>925</v>
      </c>
      <c r="E175" s="1" t="s">
        <v>547</v>
      </c>
      <c r="F175" s="1" t="s">
        <v>1018</v>
      </c>
      <c r="G175" s="1" t="s">
        <v>1075</v>
      </c>
      <c r="H175" t="str">
        <f t="shared" si="10"/>
        <v/>
      </c>
    </row>
    <row r="176" spans="1:8" x14ac:dyDescent="0.35">
      <c r="A176" s="1" t="s">
        <v>548</v>
      </c>
      <c r="B176" s="1" t="s">
        <v>549</v>
      </c>
      <c r="C176" s="1" t="s">
        <v>1126</v>
      </c>
      <c r="D176" s="1" t="s">
        <v>926</v>
      </c>
      <c r="E176" s="1" t="s">
        <v>550</v>
      </c>
      <c r="F176" s="1" t="s">
        <v>1018</v>
      </c>
      <c r="G176" s="1" t="s">
        <v>1075</v>
      </c>
      <c r="H176" t="str">
        <f t="shared" si="10"/>
        <v/>
      </c>
    </row>
    <row r="177" spans="1:8" x14ac:dyDescent="0.35">
      <c r="A177" s="1" t="s">
        <v>551</v>
      </c>
      <c r="B177" s="1" t="s">
        <v>552</v>
      </c>
      <c r="C177" s="1" t="s">
        <v>1127</v>
      </c>
      <c r="D177" s="1" t="s">
        <v>927</v>
      </c>
      <c r="E177" s="1" t="s">
        <v>553</v>
      </c>
      <c r="F177" s="1" t="s">
        <v>1018</v>
      </c>
      <c r="G177" s="1" t="s">
        <v>1075</v>
      </c>
      <c r="H177" t="str">
        <f t="shared" si="10"/>
        <v/>
      </c>
    </row>
    <row r="178" spans="1:8" x14ac:dyDescent="0.35">
      <c r="A178" s="1" t="s">
        <v>554</v>
      </c>
      <c r="B178" s="1" t="s">
        <v>555</v>
      </c>
      <c r="C178" s="1" t="s">
        <v>1128</v>
      </c>
      <c r="D178" s="1" t="s">
        <v>928</v>
      </c>
      <c r="E178" s="1" t="s">
        <v>556</v>
      </c>
      <c r="F178" s="1" t="s">
        <v>1018</v>
      </c>
      <c r="G178" s="1" t="s">
        <v>1075</v>
      </c>
      <c r="H178" t="str">
        <f t="shared" si="10"/>
        <v/>
      </c>
    </row>
    <row r="179" spans="1:8" x14ac:dyDescent="0.35">
      <c r="A179" s="1" t="s">
        <v>554</v>
      </c>
      <c r="B179" s="1" t="s">
        <v>557</v>
      </c>
      <c r="C179" s="1" t="s">
        <v>1129</v>
      </c>
      <c r="D179" s="1" t="s">
        <v>929</v>
      </c>
      <c r="E179" s="1" t="s">
        <v>558</v>
      </c>
      <c r="F179" s="1" t="s">
        <v>1018</v>
      </c>
      <c r="G179" s="1" t="s">
        <v>1075</v>
      </c>
      <c r="H179" t="str">
        <f t="shared" si="10"/>
        <v/>
      </c>
    </row>
    <row r="180" spans="1:8" x14ac:dyDescent="0.35">
      <c r="A180" s="1" t="s">
        <v>559</v>
      </c>
      <c r="B180" s="1" t="s">
        <v>560</v>
      </c>
      <c r="C180" s="1" t="s">
        <v>1130</v>
      </c>
      <c r="D180" s="1" t="s">
        <v>930</v>
      </c>
      <c r="E180" s="1" t="s">
        <v>561</v>
      </c>
      <c r="F180" s="1" t="s">
        <v>1018</v>
      </c>
      <c r="G180" s="1" t="s">
        <v>1075</v>
      </c>
      <c r="H180" t="str">
        <f t="shared" si="10"/>
        <v/>
      </c>
    </row>
    <row r="181" spans="1:8" x14ac:dyDescent="0.35">
      <c r="A181" s="1" t="s">
        <v>559</v>
      </c>
      <c r="B181" s="1" t="s">
        <v>562</v>
      </c>
      <c r="C181" s="1" t="s">
        <v>1131</v>
      </c>
      <c r="D181" s="1" t="s">
        <v>931</v>
      </c>
      <c r="E181" s="1" t="s">
        <v>563</v>
      </c>
      <c r="F181" s="1" t="s">
        <v>1018</v>
      </c>
      <c r="G181" s="1" t="s">
        <v>1075</v>
      </c>
      <c r="H181" t="str">
        <f t="shared" si="10"/>
        <v/>
      </c>
    </row>
    <row r="182" spans="1:8" x14ac:dyDescent="0.35">
      <c r="A182" s="1" t="s">
        <v>564</v>
      </c>
      <c r="B182" s="1" t="s">
        <v>565</v>
      </c>
      <c r="C182" s="1" t="s">
        <v>1132</v>
      </c>
      <c r="D182" s="1" t="s">
        <v>932</v>
      </c>
      <c r="E182" s="1" t="s">
        <v>566</v>
      </c>
      <c r="F182" s="1" t="s">
        <v>1019</v>
      </c>
      <c r="G182" s="1" t="s">
        <v>1075</v>
      </c>
      <c r="H182" t="str">
        <f t="shared" si="10"/>
        <v/>
      </c>
    </row>
    <row r="183" spans="1:8" x14ac:dyDescent="0.35">
      <c r="A183" s="1" t="s">
        <v>567</v>
      </c>
      <c r="B183" s="1" t="s">
        <v>568</v>
      </c>
      <c r="C183" s="1" t="s">
        <v>1133</v>
      </c>
      <c r="D183" s="1" t="s">
        <v>933</v>
      </c>
      <c r="E183" s="1" t="s">
        <v>569</v>
      </c>
      <c r="F183" s="1" t="s">
        <v>1019</v>
      </c>
      <c r="G183" s="1" t="s">
        <v>1075</v>
      </c>
      <c r="H183" t="str">
        <f t="shared" si="10"/>
        <v/>
      </c>
    </row>
    <row r="184" spans="1:8" x14ac:dyDescent="0.35">
      <c r="A184" s="1" t="s">
        <v>570</v>
      </c>
      <c r="B184" s="1" t="s">
        <v>571</v>
      </c>
      <c r="C184" s="1" t="s">
        <v>1134</v>
      </c>
      <c r="D184" s="1" t="s">
        <v>934</v>
      </c>
      <c r="E184" s="1" t="s">
        <v>572</v>
      </c>
      <c r="F184" s="1" t="s">
        <v>1019</v>
      </c>
      <c r="G184" s="1" t="s">
        <v>1075</v>
      </c>
      <c r="H184" t="str">
        <f t="shared" si="10"/>
        <v/>
      </c>
    </row>
    <row r="185" spans="1:8" x14ac:dyDescent="0.35">
      <c r="A185" s="1" t="s">
        <v>573</v>
      </c>
      <c r="B185" s="1" t="s">
        <v>574</v>
      </c>
      <c r="C185" s="1" t="s">
        <v>1135</v>
      </c>
      <c r="D185" s="1" t="s">
        <v>935</v>
      </c>
      <c r="E185" s="1" t="s">
        <v>575</v>
      </c>
      <c r="F185" s="1" t="s">
        <v>1019</v>
      </c>
      <c r="G185" s="1" t="s">
        <v>1075</v>
      </c>
      <c r="H185" t="str">
        <f t="shared" si="10"/>
        <v/>
      </c>
    </row>
    <row r="186" spans="1:8" x14ac:dyDescent="0.35">
      <c r="A186" s="1" t="s">
        <v>576</v>
      </c>
      <c r="B186" s="1" t="s">
        <v>577</v>
      </c>
      <c r="C186" s="1" t="s">
        <v>1136</v>
      </c>
      <c r="D186" s="1" t="s">
        <v>936</v>
      </c>
      <c r="E186" s="1" t="s">
        <v>578</v>
      </c>
      <c r="F186" s="1" t="s">
        <v>1019</v>
      </c>
      <c r="G186" s="1" t="s">
        <v>1075</v>
      </c>
      <c r="H186" t="str">
        <f t="shared" si="10"/>
        <v/>
      </c>
    </row>
    <row r="187" spans="1:8" x14ac:dyDescent="0.35">
      <c r="A187" s="1" t="s">
        <v>579</v>
      </c>
      <c r="B187" s="1" t="s">
        <v>937</v>
      </c>
      <c r="C187" s="1" t="s">
        <v>1137</v>
      </c>
      <c r="D187" s="1" t="s">
        <v>938</v>
      </c>
      <c r="E187" s="1" t="s">
        <v>580</v>
      </c>
      <c r="F187" s="1" t="s">
        <v>1019</v>
      </c>
      <c r="G187" s="1" t="s">
        <v>1075</v>
      </c>
      <c r="H187" t="str">
        <f t="shared" si="10"/>
        <v/>
      </c>
    </row>
    <row r="188" spans="1:8" x14ac:dyDescent="0.35">
      <c r="A188" s="1" t="s">
        <v>581</v>
      </c>
      <c r="B188" s="1" t="s">
        <v>582</v>
      </c>
      <c r="C188" s="1" t="s">
        <v>1138</v>
      </c>
      <c r="D188" s="1" t="s">
        <v>939</v>
      </c>
      <c r="E188" s="1" t="s">
        <v>583</v>
      </c>
      <c r="F188" s="1" t="s">
        <v>1019</v>
      </c>
      <c r="G188" s="1" t="s">
        <v>1075</v>
      </c>
      <c r="H188" t="str">
        <f t="shared" si="10"/>
        <v/>
      </c>
    </row>
    <row r="189" spans="1:8" x14ac:dyDescent="0.35">
      <c r="A189" s="1"/>
      <c r="B189" s="1"/>
      <c r="C189" s="1" t="s">
        <v>1139</v>
      </c>
      <c r="D189" s="1" t="s">
        <v>940</v>
      </c>
      <c r="E189" s="1" t="s">
        <v>584</v>
      </c>
      <c r="F189" s="1" t="s">
        <v>1019</v>
      </c>
      <c r="G189" s="1" t="s">
        <v>1075</v>
      </c>
      <c r="H189" t="str">
        <f t="shared" si="10"/>
        <v/>
      </c>
    </row>
    <row r="190" spans="1:8" x14ac:dyDescent="0.35">
      <c r="A190" s="1"/>
      <c r="B190" s="1"/>
      <c r="C190" s="1" t="s">
        <v>1140</v>
      </c>
      <c r="D190" s="1" t="s">
        <v>941</v>
      </c>
      <c r="E190" s="1" t="s">
        <v>585</v>
      </c>
      <c r="F190" s="1" t="s">
        <v>1019</v>
      </c>
      <c r="G190" s="1" t="s">
        <v>1075</v>
      </c>
      <c r="H190" t="str">
        <f t="shared" si="10"/>
        <v/>
      </c>
    </row>
    <row r="191" spans="1:8" x14ac:dyDescent="0.35">
      <c r="A191" s="1"/>
      <c r="B191" s="1"/>
      <c r="C191" s="1" t="s">
        <v>1141</v>
      </c>
      <c r="D191" s="1" t="s">
        <v>942</v>
      </c>
      <c r="E191" s="1" t="s">
        <v>586</v>
      </c>
      <c r="F191" s="1" t="s">
        <v>1019</v>
      </c>
      <c r="G191" s="1" t="s">
        <v>1075</v>
      </c>
      <c r="H191" t="str">
        <f t="shared" si="10"/>
        <v/>
      </c>
    </row>
    <row r="192" spans="1:8" x14ac:dyDescent="0.35">
      <c r="A192" s="1" t="s">
        <v>587</v>
      </c>
      <c r="B192" s="1" t="s">
        <v>588</v>
      </c>
      <c r="C192" s="1" t="s">
        <v>1142</v>
      </c>
      <c r="D192" s="1" t="s">
        <v>943</v>
      </c>
      <c r="E192" s="1" t="s">
        <v>589</v>
      </c>
      <c r="F192" s="1" t="s">
        <v>1019</v>
      </c>
      <c r="G192" s="1" t="s">
        <v>1075</v>
      </c>
      <c r="H192" t="str">
        <f t="shared" si="10"/>
        <v/>
      </c>
    </row>
    <row r="193" spans="1:8" x14ac:dyDescent="0.35">
      <c r="A193" s="1" t="s">
        <v>590</v>
      </c>
      <c r="B193" s="1" t="s">
        <v>591</v>
      </c>
      <c r="C193" s="1" t="s">
        <v>944</v>
      </c>
      <c r="D193" s="1" t="s">
        <v>944</v>
      </c>
      <c r="E193" s="1" t="s">
        <v>592</v>
      </c>
      <c r="F193" s="1" t="s">
        <v>1019</v>
      </c>
      <c r="G193" s="1" t="s">
        <v>1075</v>
      </c>
      <c r="H193" t="str">
        <f t="shared" si="10"/>
        <v/>
      </c>
    </row>
    <row r="194" spans="1:8" x14ac:dyDescent="0.35">
      <c r="A194" s="1" t="s">
        <v>593</v>
      </c>
      <c r="B194" s="1" t="s">
        <v>594</v>
      </c>
      <c r="C194" s="1" t="s">
        <v>945</v>
      </c>
      <c r="D194" s="1" t="s">
        <v>945</v>
      </c>
      <c r="E194" s="1" t="s">
        <v>595</v>
      </c>
      <c r="F194" s="1" t="s">
        <v>1019</v>
      </c>
      <c r="G194" s="1" t="s">
        <v>1075</v>
      </c>
      <c r="H194" t="str">
        <f t="shared" si="10"/>
        <v/>
      </c>
    </row>
    <row r="195" spans="1:8" x14ac:dyDescent="0.35">
      <c r="A195" s="1" t="s">
        <v>596</v>
      </c>
      <c r="B195" s="1" t="s">
        <v>597</v>
      </c>
      <c r="C195" s="1" t="s">
        <v>946</v>
      </c>
      <c r="D195" s="1" t="s">
        <v>946</v>
      </c>
      <c r="E195" s="1" t="s">
        <v>598</v>
      </c>
      <c r="F195" s="1" t="s">
        <v>1019</v>
      </c>
      <c r="G195" s="1" t="s">
        <v>1075</v>
      </c>
      <c r="H195" t="str">
        <f t="shared" ref="H195:H258" si="11">IF(ISNUMBER(SEARCH("Voiceless",A195)),0, IF(ISNUMBER(SEARCH("Voiced",A195)),1,""))</f>
        <v/>
      </c>
    </row>
    <row r="196" spans="1:8" x14ac:dyDescent="0.35">
      <c r="A196" s="1" t="s">
        <v>599</v>
      </c>
      <c r="B196" s="1" t="s">
        <v>600</v>
      </c>
      <c r="C196" s="1" t="s">
        <v>947</v>
      </c>
      <c r="D196" s="1" t="s">
        <v>947</v>
      </c>
      <c r="E196" s="1" t="s">
        <v>601</v>
      </c>
      <c r="F196" s="1" t="s">
        <v>1019</v>
      </c>
      <c r="G196" s="1" t="s">
        <v>1075</v>
      </c>
      <c r="H196" t="str">
        <f t="shared" si="11"/>
        <v/>
      </c>
    </row>
    <row r="197" spans="1:8" x14ac:dyDescent="0.35">
      <c r="A197" s="1" t="s">
        <v>602</v>
      </c>
      <c r="B197" s="1" t="s">
        <v>603</v>
      </c>
      <c r="C197" s="1" t="s">
        <v>1143</v>
      </c>
      <c r="D197" s="1" t="s">
        <v>948</v>
      </c>
      <c r="E197" s="1" t="s">
        <v>604</v>
      </c>
      <c r="F197" s="1" t="s">
        <v>1019</v>
      </c>
      <c r="G197" s="1" t="s">
        <v>1075</v>
      </c>
      <c r="H197" t="str">
        <f t="shared" si="11"/>
        <v/>
      </c>
    </row>
    <row r="198" spans="1:8" x14ac:dyDescent="0.35">
      <c r="A198" s="1" t="s">
        <v>605</v>
      </c>
      <c r="B198" s="1" t="s">
        <v>606</v>
      </c>
      <c r="C198" s="1" t="s">
        <v>1144</v>
      </c>
      <c r="D198" s="1" t="s">
        <v>949</v>
      </c>
      <c r="E198" s="1" t="s">
        <v>607</v>
      </c>
      <c r="F198" s="1" t="s">
        <v>1019</v>
      </c>
      <c r="G198" s="1" t="s">
        <v>1075</v>
      </c>
      <c r="H198" t="str">
        <f t="shared" si="11"/>
        <v/>
      </c>
    </row>
    <row r="199" spans="1:8" x14ac:dyDescent="0.35">
      <c r="A199" s="1" t="s">
        <v>608</v>
      </c>
      <c r="B199" s="1" t="s">
        <v>609</v>
      </c>
      <c r="C199" s="1" t="s">
        <v>1145</v>
      </c>
      <c r="D199" s="1" t="s">
        <v>950</v>
      </c>
      <c r="E199" s="1" t="s">
        <v>610</v>
      </c>
      <c r="F199" s="1" t="s">
        <v>1019</v>
      </c>
      <c r="G199" s="1" t="s">
        <v>1075</v>
      </c>
      <c r="H199" t="str">
        <f t="shared" si="11"/>
        <v/>
      </c>
    </row>
    <row r="200" spans="1:8" x14ac:dyDescent="0.35">
      <c r="A200" s="1" t="s">
        <v>611</v>
      </c>
      <c r="B200" s="1" t="s">
        <v>612</v>
      </c>
      <c r="C200" s="1" t="s">
        <v>1146</v>
      </c>
      <c r="D200" s="1" t="s">
        <v>951</v>
      </c>
      <c r="E200" s="1" t="s">
        <v>613</v>
      </c>
      <c r="F200" s="1" t="s">
        <v>1019</v>
      </c>
      <c r="G200" s="1" t="s">
        <v>1075</v>
      </c>
      <c r="H200" t="str">
        <f t="shared" si="11"/>
        <v/>
      </c>
    </row>
    <row r="201" spans="1:8" x14ac:dyDescent="0.35">
      <c r="A201" s="1" t="s">
        <v>614</v>
      </c>
      <c r="B201" s="1" t="s">
        <v>615</v>
      </c>
      <c r="C201" s="1" t="s">
        <v>1147</v>
      </c>
      <c r="D201" s="1" t="s">
        <v>952</v>
      </c>
      <c r="E201" s="1" t="s">
        <v>616</v>
      </c>
      <c r="F201" s="1" t="s">
        <v>1019</v>
      </c>
      <c r="G201" s="1" t="s">
        <v>1075</v>
      </c>
      <c r="H201" t="str">
        <f t="shared" si="11"/>
        <v/>
      </c>
    </row>
    <row r="202" spans="1:8" x14ac:dyDescent="0.35">
      <c r="A202" s="1" t="s">
        <v>617</v>
      </c>
      <c r="B202" s="1" t="s">
        <v>618</v>
      </c>
      <c r="C202" s="1" t="s">
        <v>1148</v>
      </c>
      <c r="D202" s="1" t="s">
        <v>953</v>
      </c>
      <c r="E202" s="1" t="s">
        <v>619</v>
      </c>
      <c r="F202" s="1" t="s">
        <v>1019</v>
      </c>
      <c r="G202" s="1" t="s">
        <v>1075</v>
      </c>
      <c r="H202" t="str">
        <f t="shared" si="11"/>
        <v/>
      </c>
    </row>
    <row r="203" spans="1:8" x14ac:dyDescent="0.35">
      <c r="A203" s="1" t="s">
        <v>620</v>
      </c>
      <c r="B203" s="1" t="s">
        <v>621</v>
      </c>
      <c r="C203" s="1" t="s">
        <v>1149</v>
      </c>
      <c r="D203" s="1" t="s">
        <v>954</v>
      </c>
      <c r="E203" s="1" t="s">
        <v>622</v>
      </c>
      <c r="F203" s="1" t="s">
        <v>1019</v>
      </c>
      <c r="G203" s="1" t="s">
        <v>1075</v>
      </c>
      <c r="H203" t="str">
        <f t="shared" si="11"/>
        <v/>
      </c>
    </row>
    <row r="204" spans="1:8" x14ac:dyDescent="0.35">
      <c r="A204" s="1" t="s">
        <v>623</v>
      </c>
      <c r="B204" s="1" t="s">
        <v>624</v>
      </c>
      <c r="C204" s="1" t="s">
        <v>1150</v>
      </c>
      <c r="D204" s="1" t="s">
        <v>955</v>
      </c>
      <c r="E204" s="1" t="s">
        <v>625</v>
      </c>
      <c r="F204" s="1" t="s">
        <v>1019</v>
      </c>
      <c r="G204" s="1" t="s">
        <v>1075</v>
      </c>
      <c r="H204" t="str">
        <f t="shared" si="11"/>
        <v/>
      </c>
    </row>
    <row r="205" spans="1:8" x14ac:dyDescent="0.35">
      <c r="A205" s="1" t="s">
        <v>626</v>
      </c>
      <c r="B205" s="1" t="s">
        <v>627</v>
      </c>
      <c r="C205" s="1" t="s">
        <v>1151</v>
      </c>
      <c r="D205" s="1" t="s">
        <v>956</v>
      </c>
      <c r="E205" s="1" t="s">
        <v>628</v>
      </c>
      <c r="F205" s="1" t="s">
        <v>1019</v>
      </c>
      <c r="G205" s="1" t="s">
        <v>1075</v>
      </c>
      <c r="H205" t="str">
        <f t="shared" si="11"/>
        <v/>
      </c>
    </row>
    <row r="206" spans="1:8" x14ac:dyDescent="0.35">
      <c r="A206" s="1" t="s">
        <v>629</v>
      </c>
      <c r="B206" s="1" t="s">
        <v>630</v>
      </c>
      <c r="C206" s="1" t="s">
        <v>957</v>
      </c>
      <c r="D206" s="1" t="s">
        <v>957</v>
      </c>
      <c r="E206" s="1" t="s">
        <v>631</v>
      </c>
      <c r="F206" s="1" t="s">
        <v>1020</v>
      </c>
      <c r="G206" s="1" t="s">
        <v>1074</v>
      </c>
      <c r="H206">
        <f t="shared" si="11"/>
        <v>0</v>
      </c>
    </row>
    <row r="207" spans="1:8" x14ac:dyDescent="0.35">
      <c r="A207" s="1" t="s">
        <v>632</v>
      </c>
      <c r="B207" s="1" t="s">
        <v>633</v>
      </c>
      <c r="C207" s="1" t="s">
        <v>958</v>
      </c>
      <c r="D207" s="1" t="s">
        <v>958</v>
      </c>
      <c r="E207" s="1" t="s">
        <v>634</v>
      </c>
      <c r="F207" s="1" t="s">
        <v>1020</v>
      </c>
      <c r="G207" s="1" t="s">
        <v>1074</v>
      </c>
      <c r="H207">
        <f t="shared" si="11"/>
        <v>1</v>
      </c>
    </row>
    <row r="208" spans="1:8" x14ac:dyDescent="0.35">
      <c r="A208" s="1" t="s">
        <v>635</v>
      </c>
      <c r="B208" s="1" t="s">
        <v>636</v>
      </c>
      <c r="C208" s="1" t="s">
        <v>959</v>
      </c>
      <c r="D208" s="1" t="s">
        <v>959</v>
      </c>
      <c r="E208" s="1" t="s">
        <v>637</v>
      </c>
      <c r="F208" s="1" t="s">
        <v>1020</v>
      </c>
      <c r="G208" s="1" t="s">
        <v>1074</v>
      </c>
      <c r="H208">
        <f t="shared" si="11"/>
        <v>0</v>
      </c>
    </row>
    <row r="209" spans="1:8" x14ac:dyDescent="0.35">
      <c r="A209" s="1" t="s">
        <v>638</v>
      </c>
      <c r="B209" s="1" t="s">
        <v>639</v>
      </c>
      <c r="C209" s="1" t="s">
        <v>960</v>
      </c>
      <c r="D209" s="1" t="s">
        <v>960</v>
      </c>
      <c r="E209" s="1" t="s">
        <v>640</v>
      </c>
      <c r="F209" s="1" t="s">
        <v>1020</v>
      </c>
      <c r="G209" s="1" t="s">
        <v>1074</v>
      </c>
      <c r="H209">
        <f t="shared" si="11"/>
        <v>1</v>
      </c>
    </row>
    <row r="210" spans="1:8" x14ac:dyDescent="0.35">
      <c r="A210" s="1" t="s">
        <v>641</v>
      </c>
      <c r="B210" s="1" t="s">
        <v>642</v>
      </c>
      <c r="C210" s="1" t="s">
        <v>961</v>
      </c>
      <c r="D210" s="1" t="s">
        <v>961</v>
      </c>
      <c r="E210" s="1" t="s">
        <v>643</v>
      </c>
      <c r="F210" s="1" t="s">
        <v>1020</v>
      </c>
      <c r="G210" s="1" t="s">
        <v>1074</v>
      </c>
      <c r="H210">
        <f t="shared" si="11"/>
        <v>0</v>
      </c>
    </row>
    <row r="211" spans="1:8" x14ac:dyDescent="0.35">
      <c r="A211" s="1" t="s">
        <v>644</v>
      </c>
      <c r="B211" s="1" t="s">
        <v>645</v>
      </c>
      <c r="C211" s="1" t="s">
        <v>962</v>
      </c>
      <c r="D211" s="1" t="s">
        <v>962</v>
      </c>
      <c r="E211" s="1" t="s">
        <v>646</v>
      </c>
      <c r="F211" s="1" t="s">
        <v>1020</v>
      </c>
      <c r="G211" s="1" t="s">
        <v>1074</v>
      </c>
      <c r="H211">
        <f t="shared" si="11"/>
        <v>1</v>
      </c>
    </row>
    <row r="212" spans="1:8" x14ac:dyDescent="0.35">
      <c r="A212" s="1" t="s">
        <v>647</v>
      </c>
      <c r="B212" s="1" t="s">
        <v>648</v>
      </c>
      <c r="C212" s="1" t="s">
        <v>963</v>
      </c>
      <c r="D212" s="1" t="s">
        <v>963</v>
      </c>
      <c r="E212" s="1" t="s">
        <v>649</v>
      </c>
      <c r="F212" s="1" t="s">
        <v>1020</v>
      </c>
      <c r="G212" s="1" t="s">
        <v>1074</v>
      </c>
      <c r="H212">
        <f t="shared" si="11"/>
        <v>0</v>
      </c>
    </row>
    <row r="213" spans="1:8" x14ac:dyDescent="0.35">
      <c r="A213" s="1" t="s">
        <v>650</v>
      </c>
      <c r="B213" s="1" t="s">
        <v>651</v>
      </c>
      <c r="C213" s="1" t="s">
        <v>964</v>
      </c>
      <c r="D213" s="1" t="s">
        <v>964</v>
      </c>
      <c r="E213" s="1" t="s">
        <v>652</v>
      </c>
      <c r="F213" s="1" t="s">
        <v>1020</v>
      </c>
      <c r="G213" s="1" t="s">
        <v>1074</v>
      </c>
      <c r="H213">
        <f t="shared" si="11"/>
        <v>1</v>
      </c>
    </row>
    <row r="214" spans="1:8" x14ac:dyDescent="0.35">
      <c r="A214" s="1" t="s">
        <v>653</v>
      </c>
      <c r="B214" s="1" t="s">
        <v>654</v>
      </c>
      <c r="C214" s="1" t="s">
        <v>965</v>
      </c>
      <c r="D214" s="1" t="s">
        <v>965</v>
      </c>
      <c r="E214" s="1" t="s">
        <v>655</v>
      </c>
      <c r="F214" s="1" t="s">
        <v>1020</v>
      </c>
      <c r="G214" s="1" t="s">
        <v>1074</v>
      </c>
      <c r="H214">
        <f t="shared" si="11"/>
        <v>0</v>
      </c>
    </row>
    <row r="215" spans="1:8" x14ac:dyDescent="0.35">
      <c r="A215" s="1" t="s">
        <v>656</v>
      </c>
      <c r="B215" s="1" t="s">
        <v>657</v>
      </c>
      <c r="C215" s="1" t="s">
        <v>966</v>
      </c>
      <c r="D215" s="1" t="s">
        <v>966</v>
      </c>
      <c r="E215" s="1" t="s">
        <v>658</v>
      </c>
      <c r="F215" s="1" t="s">
        <v>1020</v>
      </c>
      <c r="G215" s="1" t="s">
        <v>1074</v>
      </c>
      <c r="H215">
        <f t="shared" si="11"/>
        <v>1</v>
      </c>
    </row>
    <row r="216" spans="1:8" x14ac:dyDescent="0.35">
      <c r="A216" s="1" t="s">
        <v>659</v>
      </c>
      <c r="B216" s="1" t="s">
        <v>660</v>
      </c>
      <c r="C216" s="1" t="s">
        <v>967</v>
      </c>
      <c r="D216" s="1" t="s">
        <v>967</v>
      </c>
      <c r="E216" s="1" t="s">
        <v>661</v>
      </c>
      <c r="F216" s="1" t="s">
        <v>1020</v>
      </c>
      <c r="G216" s="1" t="s">
        <v>1074</v>
      </c>
      <c r="H216" t="str">
        <f t="shared" si="11"/>
        <v/>
      </c>
    </row>
    <row r="217" spans="1:8" x14ac:dyDescent="0.35">
      <c r="A217" s="1" t="s">
        <v>662</v>
      </c>
      <c r="B217" s="1" t="s">
        <v>663</v>
      </c>
      <c r="C217" s="1" t="s">
        <v>968</v>
      </c>
      <c r="D217" s="1" t="s">
        <v>968</v>
      </c>
      <c r="E217" s="1" t="s">
        <v>664</v>
      </c>
      <c r="F217" s="1" t="s">
        <v>1020</v>
      </c>
      <c r="G217" s="1" t="s">
        <v>1074</v>
      </c>
      <c r="H217" t="str">
        <f t="shared" si="11"/>
        <v/>
      </c>
    </row>
    <row r="218" spans="1:8" x14ac:dyDescent="0.35">
      <c r="A218" s="1" t="s">
        <v>665</v>
      </c>
      <c r="B218" s="1" t="s">
        <v>666</v>
      </c>
      <c r="C218" s="1" t="s">
        <v>969</v>
      </c>
      <c r="D218" s="1" t="s">
        <v>969</v>
      </c>
      <c r="E218" s="1" t="s">
        <v>667</v>
      </c>
      <c r="F218" s="1" t="s">
        <v>1020</v>
      </c>
      <c r="G218" s="1" t="s">
        <v>1074</v>
      </c>
      <c r="H218" t="str">
        <f t="shared" si="11"/>
        <v/>
      </c>
    </row>
    <row r="219" spans="1:8" x14ac:dyDescent="0.35">
      <c r="A219" s="1" t="s">
        <v>668</v>
      </c>
      <c r="B219" s="1" t="s">
        <v>669</v>
      </c>
      <c r="C219" s="1" t="s">
        <v>970</v>
      </c>
      <c r="D219" s="1" t="s">
        <v>970</v>
      </c>
      <c r="E219" s="1" t="s">
        <v>670</v>
      </c>
      <c r="F219" s="1" t="s">
        <v>1020</v>
      </c>
      <c r="G219" s="1" t="s">
        <v>1074</v>
      </c>
      <c r="H219" t="str">
        <f t="shared" si="11"/>
        <v/>
      </c>
    </row>
    <row r="220" spans="1:8" x14ac:dyDescent="0.35">
      <c r="A220" s="1" t="s">
        <v>671</v>
      </c>
      <c r="B220" s="1" t="s">
        <v>672</v>
      </c>
      <c r="C220" s="1" t="s">
        <v>971</v>
      </c>
      <c r="D220" s="1" t="s">
        <v>971</v>
      </c>
      <c r="E220" s="1" t="s">
        <v>673</v>
      </c>
      <c r="F220" s="1" t="s">
        <v>1020</v>
      </c>
      <c r="G220" s="1" t="s">
        <v>1074</v>
      </c>
      <c r="H220" t="str">
        <f t="shared" si="11"/>
        <v/>
      </c>
    </row>
    <row r="221" spans="1:8" x14ac:dyDescent="0.35">
      <c r="A221" s="1" t="s">
        <v>674</v>
      </c>
      <c r="B221" s="1" t="s">
        <v>675</v>
      </c>
      <c r="C221" s="1" t="s">
        <v>972</v>
      </c>
      <c r="D221" s="1" t="s">
        <v>972</v>
      </c>
      <c r="E221" s="1" t="s">
        <v>676</v>
      </c>
      <c r="F221" s="1" t="s">
        <v>1020</v>
      </c>
      <c r="G221" s="1" t="s">
        <v>1074</v>
      </c>
      <c r="H221" t="str">
        <f t="shared" si="11"/>
        <v/>
      </c>
    </row>
    <row r="222" spans="1:8" x14ac:dyDescent="0.35">
      <c r="A222" s="1" t="s">
        <v>677</v>
      </c>
      <c r="B222" s="1" t="s">
        <v>678</v>
      </c>
      <c r="C222" s="1" t="s">
        <v>973</v>
      </c>
      <c r="D222" s="1" t="s">
        <v>973</v>
      </c>
      <c r="E222" s="1" t="s">
        <v>679</v>
      </c>
      <c r="F222" s="1" t="s">
        <v>1020</v>
      </c>
      <c r="G222" s="1" t="s">
        <v>1074</v>
      </c>
      <c r="H222" t="str">
        <f t="shared" si="11"/>
        <v/>
      </c>
    </row>
    <row r="223" spans="1:8" x14ac:dyDescent="0.35">
      <c r="A223" s="1" t="s">
        <v>680</v>
      </c>
      <c r="B223" s="1" t="s">
        <v>681</v>
      </c>
      <c r="C223" s="1" t="s">
        <v>974</v>
      </c>
      <c r="D223" s="1" t="s">
        <v>974</v>
      </c>
      <c r="E223" s="1" t="s">
        <v>682</v>
      </c>
      <c r="F223" s="1" t="s">
        <v>1020</v>
      </c>
      <c r="G223" s="1" t="s">
        <v>1074</v>
      </c>
      <c r="H223" t="str">
        <f t="shared" si="11"/>
        <v/>
      </c>
    </row>
    <row r="224" spans="1:8" x14ac:dyDescent="0.35">
      <c r="A224" s="1" t="s">
        <v>683</v>
      </c>
      <c r="B224" s="1" t="s">
        <v>684</v>
      </c>
      <c r="C224" s="1" t="s">
        <v>975</v>
      </c>
      <c r="D224" s="1" t="s">
        <v>975</v>
      </c>
      <c r="E224" s="1" t="s">
        <v>685</v>
      </c>
      <c r="F224" s="1" t="s">
        <v>1020</v>
      </c>
      <c r="G224" s="1" t="s">
        <v>1074</v>
      </c>
      <c r="H224" t="str">
        <f t="shared" si="11"/>
        <v/>
      </c>
    </row>
    <row r="225" spans="1:8" x14ac:dyDescent="0.35">
      <c r="A225" s="1" t="s">
        <v>686</v>
      </c>
      <c r="B225" s="1" t="s">
        <v>687</v>
      </c>
      <c r="C225" s="1" t="s">
        <v>976</v>
      </c>
      <c r="D225" s="1" t="s">
        <v>976</v>
      </c>
      <c r="E225" s="1" t="s">
        <v>688</v>
      </c>
      <c r="F225" s="1" t="s">
        <v>1020</v>
      </c>
      <c r="G225" s="1" t="s">
        <v>1074</v>
      </c>
      <c r="H225" t="str">
        <f t="shared" si="11"/>
        <v/>
      </c>
    </row>
    <row r="226" spans="1:8" x14ac:dyDescent="0.35">
      <c r="A226" s="1" t="s">
        <v>689</v>
      </c>
      <c r="B226" s="1" t="s">
        <v>690</v>
      </c>
      <c r="C226" s="1" t="s">
        <v>977</v>
      </c>
      <c r="D226" s="1" t="s">
        <v>977</v>
      </c>
      <c r="E226" s="1" t="s">
        <v>691</v>
      </c>
      <c r="F226" s="1" t="s">
        <v>1020</v>
      </c>
      <c r="G226" s="1" t="s">
        <v>1074</v>
      </c>
      <c r="H226" t="str">
        <f t="shared" si="11"/>
        <v/>
      </c>
    </row>
    <row r="227" spans="1:8" x14ac:dyDescent="0.35">
      <c r="A227" s="1" t="s">
        <v>149</v>
      </c>
      <c r="B227" s="1" t="s">
        <v>692</v>
      </c>
      <c r="C227" s="1" t="s">
        <v>978</v>
      </c>
      <c r="D227" s="1" t="s">
        <v>978</v>
      </c>
      <c r="E227" s="1" t="s">
        <v>693</v>
      </c>
      <c r="F227" s="1" t="s">
        <v>1020</v>
      </c>
      <c r="G227" s="1" t="s">
        <v>1074</v>
      </c>
      <c r="H227">
        <f t="shared" si="11"/>
        <v>0</v>
      </c>
    </row>
    <row r="228" spans="1:8" x14ac:dyDescent="0.35">
      <c r="A228" s="1" t="s">
        <v>152</v>
      </c>
      <c r="B228" s="1" t="s">
        <v>694</v>
      </c>
      <c r="C228" s="1" t="s">
        <v>979</v>
      </c>
      <c r="D228" s="1" t="s">
        <v>979</v>
      </c>
      <c r="E228" s="1" t="s">
        <v>695</v>
      </c>
      <c r="F228" s="1" t="s">
        <v>1020</v>
      </c>
      <c r="G228" s="1" t="s">
        <v>1074</v>
      </c>
      <c r="H228">
        <f t="shared" si="11"/>
        <v>1</v>
      </c>
    </row>
    <row r="229" spans="1:8" x14ac:dyDescent="0.35">
      <c r="A229" s="1" t="s">
        <v>696</v>
      </c>
      <c r="B229" s="1" t="s">
        <v>697</v>
      </c>
      <c r="C229" s="1" t="s">
        <v>980</v>
      </c>
      <c r="D229" s="1" t="s">
        <v>980</v>
      </c>
      <c r="E229" s="1" t="s">
        <v>698</v>
      </c>
      <c r="F229" s="1" t="s">
        <v>1020</v>
      </c>
      <c r="G229" s="1" t="s">
        <v>1074</v>
      </c>
      <c r="H229">
        <f t="shared" si="11"/>
        <v>0</v>
      </c>
    </row>
    <row r="230" spans="1:8" x14ac:dyDescent="0.35">
      <c r="A230" s="1" t="s">
        <v>699</v>
      </c>
      <c r="B230" s="1" t="s">
        <v>700</v>
      </c>
      <c r="C230" s="1" t="s">
        <v>981</v>
      </c>
      <c r="D230" s="1" t="s">
        <v>981</v>
      </c>
      <c r="E230" s="1" t="s">
        <v>701</v>
      </c>
      <c r="F230" s="1" t="s">
        <v>1020</v>
      </c>
      <c r="G230" s="1" t="s">
        <v>1074</v>
      </c>
      <c r="H230">
        <f t="shared" si="11"/>
        <v>1</v>
      </c>
    </row>
    <row r="231" spans="1:8" x14ac:dyDescent="0.35">
      <c r="A231" s="1" t="s">
        <v>702</v>
      </c>
      <c r="B231" s="1" t="s">
        <v>703</v>
      </c>
      <c r="C231" s="1" t="s">
        <v>982</v>
      </c>
      <c r="D231" s="1" t="s">
        <v>982</v>
      </c>
      <c r="E231" s="1" t="s">
        <v>704</v>
      </c>
      <c r="F231" s="1" t="s">
        <v>1020</v>
      </c>
      <c r="G231" s="1" t="s">
        <v>1074</v>
      </c>
      <c r="H231">
        <f t="shared" si="11"/>
        <v>0</v>
      </c>
    </row>
    <row r="232" spans="1:8" x14ac:dyDescent="0.35">
      <c r="A232" s="1" t="s">
        <v>705</v>
      </c>
      <c r="B232" s="1" t="s">
        <v>706</v>
      </c>
      <c r="C232" s="1" t="s">
        <v>983</v>
      </c>
      <c r="D232" s="1" t="s">
        <v>983</v>
      </c>
      <c r="E232" s="1" t="s">
        <v>707</v>
      </c>
      <c r="F232" s="1" t="s">
        <v>1020</v>
      </c>
      <c r="G232" s="1" t="s">
        <v>1074</v>
      </c>
      <c r="H232">
        <f t="shared" si="11"/>
        <v>1</v>
      </c>
    </row>
    <row r="233" spans="1:8" x14ac:dyDescent="0.35">
      <c r="A233" s="1" t="s">
        <v>708</v>
      </c>
      <c r="B233" s="1" t="s">
        <v>709</v>
      </c>
      <c r="C233" s="1" t="s">
        <v>984</v>
      </c>
      <c r="D233" s="1" t="s">
        <v>984</v>
      </c>
      <c r="E233" s="1" t="s">
        <v>710</v>
      </c>
      <c r="F233" s="1" t="s">
        <v>1020</v>
      </c>
      <c r="G233" s="1" t="s">
        <v>1074</v>
      </c>
      <c r="H233">
        <f t="shared" si="11"/>
        <v>0</v>
      </c>
    </row>
    <row r="234" spans="1:8" x14ac:dyDescent="0.35">
      <c r="A234" s="1" t="s">
        <v>711</v>
      </c>
      <c r="B234" s="1" t="s">
        <v>712</v>
      </c>
      <c r="C234" s="1" t="s">
        <v>985</v>
      </c>
      <c r="D234" s="1" t="s">
        <v>985</v>
      </c>
      <c r="E234" s="1" t="s">
        <v>713</v>
      </c>
      <c r="F234" s="1" t="s">
        <v>1020</v>
      </c>
      <c r="G234" s="1" t="s">
        <v>1074</v>
      </c>
      <c r="H234">
        <f t="shared" si="11"/>
        <v>1</v>
      </c>
    </row>
    <row r="235" spans="1:8" x14ac:dyDescent="0.35">
      <c r="A235" s="1" t="s">
        <v>714</v>
      </c>
      <c r="B235" s="1" t="s">
        <v>715</v>
      </c>
      <c r="C235" s="1" t="s">
        <v>986</v>
      </c>
      <c r="D235" s="1" t="s">
        <v>986</v>
      </c>
      <c r="E235" s="1" t="s">
        <v>716</v>
      </c>
      <c r="F235" s="1" t="s">
        <v>1020</v>
      </c>
      <c r="G235" s="1" t="s">
        <v>1074</v>
      </c>
      <c r="H235">
        <f t="shared" si="11"/>
        <v>0</v>
      </c>
    </row>
    <row r="236" spans="1:8" x14ac:dyDescent="0.35">
      <c r="A236" s="1" t="s">
        <v>717</v>
      </c>
      <c r="B236" s="1" t="s">
        <v>718</v>
      </c>
      <c r="C236" s="1" t="s">
        <v>987</v>
      </c>
      <c r="D236" s="1" t="s">
        <v>987</v>
      </c>
      <c r="E236" s="1" t="s">
        <v>719</v>
      </c>
      <c r="F236" s="1" t="s">
        <v>1020</v>
      </c>
      <c r="G236" s="1" t="s">
        <v>1074</v>
      </c>
      <c r="H236">
        <f t="shared" si="11"/>
        <v>1</v>
      </c>
    </row>
    <row r="237" spans="1:8" x14ac:dyDescent="0.35">
      <c r="A237" s="1" t="s">
        <v>720</v>
      </c>
      <c r="B237" s="1" t="s">
        <v>721</v>
      </c>
      <c r="C237" s="1" t="s">
        <v>988</v>
      </c>
      <c r="D237" s="1" t="s">
        <v>988</v>
      </c>
      <c r="E237" s="1" t="s">
        <v>722</v>
      </c>
      <c r="F237" s="1" t="s">
        <v>1020</v>
      </c>
      <c r="G237" s="1" t="s">
        <v>1074</v>
      </c>
      <c r="H237">
        <f t="shared" si="11"/>
        <v>0</v>
      </c>
    </row>
    <row r="238" spans="1:8" x14ac:dyDescent="0.35">
      <c r="A238" s="1" t="s">
        <v>723</v>
      </c>
      <c r="B238" s="1" t="s">
        <v>724</v>
      </c>
      <c r="C238" s="1" t="s">
        <v>989</v>
      </c>
      <c r="D238" s="1" t="s">
        <v>989</v>
      </c>
      <c r="E238" s="1" t="s">
        <v>725</v>
      </c>
      <c r="F238" s="1" t="s">
        <v>1020</v>
      </c>
      <c r="G238" s="1" t="s">
        <v>1074</v>
      </c>
      <c r="H238">
        <f t="shared" si="11"/>
        <v>1</v>
      </c>
    </row>
    <row r="239" spans="1:8" x14ac:dyDescent="0.35">
      <c r="A239" s="1" t="s">
        <v>726</v>
      </c>
      <c r="B239" s="1" t="s">
        <v>727</v>
      </c>
      <c r="C239" s="1" t="s">
        <v>990</v>
      </c>
      <c r="D239" s="1" t="s">
        <v>990</v>
      </c>
      <c r="E239" s="1" t="s">
        <v>728</v>
      </c>
      <c r="F239" s="1" t="s">
        <v>1020</v>
      </c>
      <c r="G239" s="1" t="s">
        <v>1074</v>
      </c>
      <c r="H239" t="str">
        <f t="shared" si="11"/>
        <v/>
      </c>
    </row>
    <row r="240" spans="1:8" x14ac:dyDescent="0.35">
      <c r="A240" s="1" t="s">
        <v>729</v>
      </c>
      <c r="B240" s="1" t="s">
        <v>729</v>
      </c>
      <c r="C240" s="1" t="s">
        <v>991</v>
      </c>
      <c r="D240" s="1" t="s">
        <v>991</v>
      </c>
      <c r="E240" s="1" t="s">
        <v>730</v>
      </c>
      <c r="F240" s="1" t="s">
        <v>1020</v>
      </c>
      <c r="G240" s="1" t="s">
        <v>1074</v>
      </c>
      <c r="H240" t="str">
        <f t="shared" si="11"/>
        <v/>
      </c>
    </row>
    <row r="241" spans="1:8" x14ac:dyDescent="0.35">
      <c r="A241" s="1" t="s">
        <v>731</v>
      </c>
      <c r="B241" s="1" t="s">
        <v>731</v>
      </c>
      <c r="C241" s="1" t="s">
        <v>992</v>
      </c>
      <c r="D241" s="1" t="s">
        <v>992</v>
      </c>
      <c r="E241" s="1" t="s">
        <v>732</v>
      </c>
      <c r="F241" s="1" t="s">
        <v>1020</v>
      </c>
      <c r="G241" s="1" t="s">
        <v>1074</v>
      </c>
      <c r="H241" t="str">
        <f t="shared" si="11"/>
        <v/>
      </c>
    </row>
    <row r="242" spans="1:8" x14ac:dyDescent="0.35">
      <c r="A242" s="1" t="s">
        <v>733</v>
      </c>
      <c r="B242" s="1" t="s">
        <v>734</v>
      </c>
      <c r="C242" s="1" t="s">
        <v>1152</v>
      </c>
      <c r="D242" s="1" t="s">
        <v>993</v>
      </c>
      <c r="E242" s="1" t="s">
        <v>735</v>
      </c>
      <c r="F242" s="1" t="s">
        <v>1020</v>
      </c>
      <c r="G242" s="1" t="s">
        <v>1075</v>
      </c>
      <c r="H242" t="str">
        <f t="shared" si="11"/>
        <v/>
      </c>
    </row>
    <row r="243" spans="1:8" x14ac:dyDescent="0.35">
      <c r="A243" s="1" t="s">
        <v>736</v>
      </c>
      <c r="B243" s="1" t="s">
        <v>737</v>
      </c>
      <c r="C243" s="1" t="s">
        <v>1153</v>
      </c>
      <c r="D243" s="1" t="s">
        <v>994</v>
      </c>
      <c r="E243" s="1" t="s">
        <v>738</v>
      </c>
      <c r="F243" s="1" t="s">
        <v>1020</v>
      </c>
      <c r="G243" s="1" t="s">
        <v>1075</v>
      </c>
      <c r="H243" t="str">
        <f t="shared" si="11"/>
        <v/>
      </c>
    </row>
    <row r="244" spans="1:8" x14ac:dyDescent="0.35">
      <c r="A244" s="1" t="s">
        <v>739</v>
      </c>
      <c r="B244" s="1" t="s">
        <v>740</v>
      </c>
      <c r="C244" s="1" t="s">
        <v>1154</v>
      </c>
      <c r="D244" s="1" t="s">
        <v>995</v>
      </c>
      <c r="E244" s="1" t="s">
        <v>741</v>
      </c>
      <c r="F244" s="1" t="s">
        <v>1020</v>
      </c>
      <c r="G244" s="1" t="s">
        <v>1075</v>
      </c>
      <c r="H244" t="str">
        <f t="shared" si="11"/>
        <v/>
      </c>
    </row>
    <row r="245" spans="1:8" x14ac:dyDescent="0.35">
      <c r="A245" s="1" t="s">
        <v>742</v>
      </c>
      <c r="B245" s="1" t="s">
        <v>743</v>
      </c>
      <c r="C245" s="1" t="s">
        <v>1155</v>
      </c>
      <c r="D245" s="1" t="s">
        <v>996</v>
      </c>
      <c r="E245" s="1" t="s">
        <v>744</v>
      </c>
      <c r="F245" s="1" t="s">
        <v>1020</v>
      </c>
      <c r="G245" s="1" t="s">
        <v>1075</v>
      </c>
      <c r="H245" t="str">
        <f t="shared" si="11"/>
        <v/>
      </c>
    </row>
    <row r="246" spans="1:8" x14ac:dyDescent="0.35">
      <c r="A246" s="1" t="s">
        <v>745</v>
      </c>
      <c r="B246" s="1" t="s">
        <v>746</v>
      </c>
      <c r="C246" s="1" t="s">
        <v>1156</v>
      </c>
      <c r="D246" s="1" t="s">
        <v>997</v>
      </c>
      <c r="E246" s="1" t="s">
        <v>747</v>
      </c>
      <c r="F246" s="1" t="s">
        <v>1020</v>
      </c>
      <c r="G246" s="1" t="s">
        <v>1075</v>
      </c>
      <c r="H246" t="str">
        <f t="shared" si="11"/>
        <v/>
      </c>
    </row>
    <row r="247" spans="1:8" x14ac:dyDescent="0.35">
      <c r="A247" s="1" t="s">
        <v>748</v>
      </c>
      <c r="B247" s="1" t="s">
        <v>749</v>
      </c>
      <c r="C247" s="1" t="s">
        <v>1157</v>
      </c>
      <c r="D247" s="1" t="s">
        <v>998</v>
      </c>
      <c r="E247" s="1" t="s">
        <v>750</v>
      </c>
      <c r="F247" s="1" t="s">
        <v>1020</v>
      </c>
      <c r="G247" s="1" t="s">
        <v>1075</v>
      </c>
      <c r="H247" t="str">
        <f t="shared" si="11"/>
        <v/>
      </c>
    </row>
    <row r="248" spans="1:8" x14ac:dyDescent="0.35">
      <c r="A248" s="1" t="s">
        <v>751</v>
      </c>
      <c r="B248" s="1" t="s">
        <v>752</v>
      </c>
      <c r="C248" s="1" t="s">
        <v>1158</v>
      </c>
      <c r="D248" s="1" t="s">
        <v>999</v>
      </c>
      <c r="E248" s="1" t="s">
        <v>753</v>
      </c>
      <c r="F248" s="1" t="s">
        <v>1020</v>
      </c>
      <c r="G248" s="1" t="s">
        <v>1075</v>
      </c>
      <c r="H248" t="str">
        <f t="shared" si="11"/>
        <v/>
      </c>
    </row>
    <row r="249" spans="1:8" x14ac:dyDescent="0.35">
      <c r="A249" s="1" t="s">
        <v>754</v>
      </c>
      <c r="B249" s="1" t="s">
        <v>755</v>
      </c>
      <c r="C249" s="1" t="s">
        <v>1159</v>
      </c>
      <c r="D249" s="1" t="s">
        <v>1000</v>
      </c>
      <c r="E249" s="1" t="s">
        <v>756</v>
      </c>
      <c r="F249" s="1" t="s">
        <v>1020</v>
      </c>
      <c r="G249" s="1" t="s">
        <v>1075</v>
      </c>
      <c r="H249" t="str">
        <f t="shared" si="11"/>
        <v/>
      </c>
    </row>
    <row r="250" spans="1:8" x14ac:dyDescent="0.35">
      <c r="A250" s="1" t="s">
        <v>757</v>
      </c>
      <c r="B250" s="1" t="s">
        <v>758</v>
      </c>
      <c r="C250" s="1" t="s">
        <v>1160</v>
      </c>
      <c r="D250" s="1" t="s">
        <v>1001</v>
      </c>
      <c r="E250" s="1" t="s">
        <v>759</v>
      </c>
      <c r="F250" s="1" t="s">
        <v>1020</v>
      </c>
      <c r="G250" s="1" t="s">
        <v>1075</v>
      </c>
      <c r="H250" t="str">
        <f t="shared" si="11"/>
        <v/>
      </c>
    </row>
    <row r="251" spans="1:8" x14ac:dyDescent="0.35">
      <c r="A251" s="1" t="s">
        <v>760</v>
      </c>
      <c r="B251" s="1" t="s">
        <v>761</v>
      </c>
      <c r="C251" s="1" t="s">
        <v>1161</v>
      </c>
      <c r="D251" s="1" t="s">
        <v>1002</v>
      </c>
      <c r="E251" s="1" t="s">
        <v>762</v>
      </c>
      <c r="F251" s="1" t="s">
        <v>1020</v>
      </c>
      <c r="G251" s="1" t="s">
        <v>1075</v>
      </c>
      <c r="H251" t="str">
        <f t="shared" si="11"/>
        <v/>
      </c>
    </row>
    <row r="252" spans="1:8" x14ac:dyDescent="0.35">
      <c r="A252" s="1" t="s">
        <v>763</v>
      </c>
      <c r="B252" s="1" t="s">
        <v>764</v>
      </c>
      <c r="C252" s="1" t="s">
        <v>1162</v>
      </c>
      <c r="D252" s="1" t="s">
        <v>1003</v>
      </c>
      <c r="E252" s="1" t="s">
        <v>765</v>
      </c>
      <c r="F252" s="1" t="s">
        <v>1020</v>
      </c>
      <c r="G252" s="1" t="s">
        <v>1075</v>
      </c>
      <c r="H252" t="str">
        <f t="shared" si="11"/>
        <v/>
      </c>
    </row>
    <row r="253" spans="1:8" x14ac:dyDescent="0.35">
      <c r="A253" s="1" t="s">
        <v>766</v>
      </c>
      <c r="B253" s="1" t="s">
        <v>767</v>
      </c>
      <c r="C253" s="1" t="s">
        <v>1163</v>
      </c>
      <c r="D253" s="1" t="s">
        <v>1004</v>
      </c>
      <c r="E253" s="1" t="s">
        <v>768</v>
      </c>
      <c r="F253" s="1" t="s">
        <v>1020</v>
      </c>
      <c r="G253" s="1" t="s">
        <v>1075</v>
      </c>
      <c r="H253" t="str">
        <f t="shared" si="11"/>
        <v/>
      </c>
    </row>
    <row r="254" spans="1:8" x14ac:dyDescent="0.35">
      <c r="A254" s="1" t="s">
        <v>769</v>
      </c>
      <c r="B254" s="1" t="s">
        <v>770</v>
      </c>
      <c r="C254" s="1" t="s">
        <v>1005</v>
      </c>
      <c r="D254" s="1" t="s">
        <v>1005</v>
      </c>
      <c r="E254" s="1" t="s">
        <v>771</v>
      </c>
      <c r="F254" s="1" t="s">
        <v>1020</v>
      </c>
      <c r="G254" s="1" t="s">
        <v>1075</v>
      </c>
      <c r="H254" t="str">
        <f t="shared" si="11"/>
        <v/>
      </c>
    </row>
    <row r="255" spans="1:8" x14ac:dyDescent="0.35">
      <c r="A255" s="1" t="s">
        <v>772</v>
      </c>
      <c r="B255" s="1" t="s">
        <v>773</v>
      </c>
      <c r="C255" s="1" t="s">
        <v>1006</v>
      </c>
      <c r="D255" s="1" t="s">
        <v>1006</v>
      </c>
      <c r="E255" s="1" t="s">
        <v>774</v>
      </c>
      <c r="F255" s="1" t="s">
        <v>1020</v>
      </c>
      <c r="G255" s="1" t="s">
        <v>1075</v>
      </c>
      <c r="H255" t="str">
        <f t="shared" si="11"/>
        <v/>
      </c>
    </row>
    <row r="256" spans="1:8" x14ac:dyDescent="0.35">
      <c r="A256" s="1" t="s">
        <v>775</v>
      </c>
      <c r="B256" s="1" t="s">
        <v>519</v>
      </c>
      <c r="C256" s="1" t="s">
        <v>1164</v>
      </c>
      <c r="D256" s="1" t="s">
        <v>1007</v>
      </c>
      <c r="E256" s="1" t="s">
        <v>776</v>
      </c>
      <c r="F256" s="1" t="s">
        <v>1020</v>
      </c>
      <c r="G256" s="1" t="s">
        <v>1075</v>
      </c>
      <c r="H256" t="str">
        <f t="shared" si="11"/>
        <v/>
      </c>
    </row>
    <row r="257" spans="1:8" x14ac:dyDescent="0.35">
      <c r="A257" s="1" t="s">
        <v>777</v>
      </c>
      <c r="B257" s="1" t="s">
        <v>519</v>
      </c>
      <c r="C257" s="1" t="s">
        <v>1165</v>
      </c>
      <c r="D257" s="1" t="s">
        <v>1008</v>
      </c>
      <c r="E257" s="1" t="s">
        <v>778</v>
      </c>
      <c r="F257" s="1" t="s">
        <v>1020</v>
      </c>
      <c r="G257" s="1" t="s">
        <v>1076</v>
      </c>
      <c r="H257" t="str">
        <f t="shared" si="11"/>
        <v/>
      </c>
    </row>
    <row r="258" spans="1:8" x14ac:dyDescent="0.35">
      <c r="A258" s="1" t="s">
        <v>779</v>
      </c>
      <c r="B258" s="1" t="s">
        <v>780</v>
      </c>
      <c r="C258" s="1" t="s">
        <v>1166</v>
      </c>
      <c r="D258" s="1" t="s">
        <v>1009</v>
      </c>
      <c r="E258" s="1" t="s">
        <v>781</v>
      </c>
      <c r="F258" s="1" t="s">
        <v>1020</v>
      </c>
      <c r="G258" s="1" t="s">
        <v>1075</v>
      </c>
      <c r="H258" t="str">
        <f t="shared" si="11"/>
        <v/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7BDB-48B5-4FAA-8FCC-765F2AC31EBC}">
  <dimension ref="A1:V258"/>
  <sheetViews>
    <sheetView topLeftCell="B1" workbookViewId="0">
      <selection activeCell="M2" sqref="M2"/>
    </sheetView>
  </sheetViews>
  <sheetFormatPr defaultColWidth="9.1796875" defaultRowHeight="12.5" x14ac:dyDescent="0.25"/>
  <cols>
    <col min="1" max="1" width="46.54296875" style="2" bestFit="1" customWidth="1"/>
    <col min="2" max="2" width="40.81640625" style="2" bestFit="1" customWidth="1"/>
    <col min="3" max="3" width="9.26953125" style="2" customWidth="1"/>
    <col min="4" max="4" width="10" style="2" customWidth="1"/>
    <col min="5" max="5" width="14.54296875" style="2" bestFit="1" customWidth="1"/>
    <col min="6" max="6" width="9.1796875" style="2"/>
    <col min="7" max="7" width="11.26953125" style="2" bestFit="1" customWidth="1"/>
    <col min="8" max="8" width="9.26953125" style="2" customWidth="1"/>
    <col min="9" max="12" width="9.1796875" style="2"/>
    <col min="13" max="13" width="10.26953125" style="2" customWidth="1"/>
    <col min="14" max="14" width="9.1796875" style="2"/>
    <col min="15" max="15" width="9.26953125" style="2" customWidth="1"/>
    <col min="16" max="16384" width="9.1796875" style="2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1021</v>
      </c>
      <c r="F1" s="2" t="s">
        <v>1022</v>
      </c>
      <c r="G1" s="2" t="s">
        <v>1023</v>
      </c>
      <c r="H1" s="2" t="s">
        <v>1024</v>
      </c>
      <c r="I1" s="2" t="s">
        <v>1042</v>
      </c>
      <c r="J1" s="2" t="s">
        <v>1043</v>
      </c>
      <c r="K1" s="2" t="s">
        <v>1041</v>
      </c>
      <c r="L1" s="2" t="s">
        <v>1040</v>
      </c>
      <c r="M1" s="2" t="s">
        <v>1025</v>
      </c>
      <c r="N1" s="2" t="s">
        <v>1032</v>
      </c>
      <c r="O1" s="2" t="s">
        <v>1039</v>
      </c>
      <c r="P1" s="2" t="s">
        <v>1037</v>
      </c>
      <c r="Q1" s="2" t="s">
        <v>1033</v>
      </c>
      <c r="R1" s="2" t="s">
        <v>1036</v>
      </c>
      <c r="S1" s="2" t="s">
        <v>1038</v>
      </c>
      <c r="T1" s="2" t="s">
        <v>1034</v>
      </c>
      <c r="U1" s="2" t="s">
        <v>1035</v>
      </c>
      <c r="V1" s="3" t="s">
        <v>1069</v>
      </c>
    </row>
    <row r="2" spans="1:22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1010</v>
      </c>
      <c r="F2" s="2">
        <v>0</v>
      </c>
      <c r="G2" s="2" t="s">
        <v>1028</v>
      </c>
      <c r="H2" s="2" t="s">
        <v>1044</v>
      </c>
      <c r="I2" s="2" t="s">
        <v>1045</v>
      </c>
      <c r="J2" s="2" t="s">
        <v>1045</v>
      </c>
      <c r="M2" s="2">
        <v>1</v>
      </c>
      <c r="V2" s="3" t="s">
        <v>1070</v>
      </c>
    </row>
    <row r="3" spans="1:22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1010</v>
      </c>
      <c r="F3" s="2">
        <v>1</v>
      </c>
      <c r="G3" s="2" t="s">
        <v>1028</v>
      </c>
      <c r="H3" s="2" t="s">
        <v>1044</v>
      </c>
      <c r="I3" s="2" t="s">
        <v>1045</v>
      </c>
      <c r="J3" s="2" t="s">
        <v>1045</v>
      </c>
      <c r="M3" s="2">
        <v>2</v>
      </c>
      <c r="V3" s="3" t="s">
        <v>1070</v>
      </c>
    </row>
    <row r="4" spans="1:22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1010</v>
      </c>
      <c r="F4" s="2">
        <v>0</v>
      </c>
      <c r="G4" s="2" t="s">
        <v>1030</v>
      </c>
      <c r="H4" s="2" t="s">
        <v>1044</v>
      </c>
      <c r="I4" s="2" t="s">
        <v>1045</v>
      </c>
      <c r="J4" s="2" t="s">
        <v>1045</v>
      </c>
      <c r="M4" s="2">
        <v>1</v>
      </c>
      <c r="V4" s="3" t="s">
        <v>1072</v>
      </c>
    </row>
    <row r="5" spans="1:22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1010</v>
      </c>
      <c r="F5" s="2">
        <v>1</v>
      </c>
      <c r="G5" s="2" t="s">
        <v>1030</v>
      </c>
      <c r="H5" s="2" t="s">
        <v>1044</v>
      </c>
      <c r="I5" s="2" t="s">
        <v>1045</v>
      </c>
      <c r="J5" s="2" t="s">
        <v>1045</v>
      </c>
      <c r="M5" s="2">
        <v>2</v>
      </c>
      <c r="V5" s="3" t="s">
        <v>1070</v>
      </c>
    </row>
    <row r="6" spans="1:22" x14ac:dyDescent="0.25">
      <c r="A6" s="2" t="s">
        <v>20</v>
      </c>
      <c r="B6" s="2" t="s">
        <v>21</v>
      </c>
      <c r="C6" s="2" t="s">
        <v>782</v>
      </c>
      <c r="D6" s="2" t="s">
        <v>22</v>
      </c>
      <c r="E6" s="2" t="s">
        <v>1010</v>
      </c>
      <c r="F6" s="2">
        <v>0</v>
      </c>
      <c r="G6" s="2" t="s">
        <v>1046</v>
      </c>
      <c r="H6" s="2" t="s">
        <v>1044</v>
      </c>
      <c r="I6" s="2" t="s">
        <v>1045</v>
      </c>
      <c r="J6" s="2" t="s">
        <v>1045</v>
      </c>
      <c r="M6" s="2">
        <v>1</v>
      </c>
      <c r="V6" s="3"/>
    </row>
    <row r="7" spans="1:22" x14ac:dyDescent="0.25">
      <c r="A7" s="2" t="s">
        <v>23</v>
      </c>
      <c r="B7" s="2" t="s">
        <v>24</v>
      </c>
      <c r="C7" s="2" t="s">
        <v>783</v>
      </c>
      <c r="D7" s="2" t="s">
        <v>25</v>
      </c>
      <c r="E7" s="2" t="s">
        <v>1010</v>
      </c>
      <c r="F7" s="2">
        <v>1</v>
      </c>
      <c r="G7" s="2" t="s">
        <v>1046</v>
      </c>
      <c r="H7" s="2" t="s">
        <v>1044</v>
      </c>
      <c r="I7" s="2" t="s">
        <v>1045</v>
      </c>
      <c r="J7" s="2" t="s">
        <v>1045</v>
      </c>
      <c r="M7" s="2">
        <v>2</v>
      </c>
      <c r="V7" s="3"/>
    </row>
    <row r="8" spans="1:22" x14ac:dyDescent="0.25">
      <c r="A8" s="2" t="s">
        <v>26</v>
      </c>
      <c r="B8" s="2" t="s">
        <v>27</v>
      </c>
      <c r="C8" s="2" t="s">
        <v>28</v>
      </c>
      <c r="D8" s="2" t="s">
        <v>29</v>
      </c>
      <c r="E8" s="2" t="s">
        <v>1010</v>
      </c>
      <c r="F8" s="2">
        <v>0</v>
      </c>
      <c r="G8" s="2" t="s">
        <v>1047</v>
      </c>
      <c r="H8" s="2" t="s">
        <v>1044</v>
      </c>
      <c r="I8" s="2" t="s">
        <v>1045</v>
      </c>
      <c r="J8" s="2" t="s">
        <v>1045</v>
      </c>
      <c r="M8" s="2">
        <v>1</v>
      </c>
      <c r="V8" s="3"/>
    </row>
    <row r="9" spans="1:22" x14ac:dyDescent="0.25">
      <c r="A9" s="2" t="s">
        <v>30</v>
      </c>
      <c r="B9" s="2" t="s">
        <v>31</v>
      </c>
      <c r="C9" s="2" t="s">
        <v>784</v>
      </c>
      <c r="D9" s="2" t="s">
        <v>32</v>
      </c>
      <c r="E9" s="2" t="s">
        <v>1010</v>
      </c>
      <c r="F9" s="2">
        <v>1</v>
      </c>
      <c r="G9" s="2" t="s">
        <v>1047</v>
      </c>
      <c r="H9" s="2" t="s">
        <v>1044</v>
      </c>
      <c r="I9" s="2" t="s">
        <v>1045</v>
      </c>
      <c r="J9" s="2" t="s">
        <v>1045</v>
      </c>
      <c r="M9" s="2">
        <v>2</v>
      </c>
      <c r="V9" s="3"/>
    </row>
    <row r="10" spans="1:22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1010</v>
      </c>
      <c r="F10" s="2">
        <v>0</v>
      </c>
      <c r="G10" s="2" t="s">
        <v>1048</v>
      </c>
      <c r="H10" s="2" t="s">
        <v>1044</v>
      </c>
      <c r="I10" s="2" t="s">
        <v>1045</v>
      </c>
      <c r="J10" s="2" t="s">
        <v>1045</v>
      </c>
      <c r="M10" s="2">
        <v>1</v>
      </c>
      <c r="V10" s="3" t="s">
        <v>1072</v>
      </c>
    </row>
    <row r="11" spans="1:22" x14ac:dyDescent="0.25">
      <c r="A11" s="2" t="s">
        <v>37</v>
      </c>
      <c r="B11" s="2" t="s">
        <v>38</v>
      </c>
      <c r="C11" s="2" t="s">
        <v>785</v>
      </c>
      <c r="D11" s="2" t="s">
        <v>39</v>
      </c>
      <c r="E11" s="2" t="s">
        <v>1010</v>
      </c>
      <c r="F11" s="2">
        <v>1</v>
      </c>
      <c r="G11" s="2" t="s">
        <v>1048</v>
      </c>
      <c r="H11" s="2" t="s">
        <v>1044</v>
      </c>
      <c r="I11" s="2" t="s">
        <v>1045</v>
      </c>
      <c r="J11" s="2" t="s">
        <v>1045</v>
      </c>
      <c r="M11" s="2">
        <v>2</v>
      </c>
      <c r="V11" s="3" t="s">
        <v>1072</v>
      </c>
    </row>
    <row r="12" spans="1:22" x14ac:dyDescent="0.2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1010</v>
      </c>
      <c r="F12" s="2">
        <v>0</v>
      </c>
      <c r="G12" s="2" t="s">
        <v>1049</v>
      </c>
      <c r="H12" s="2" t="s">
        <v>1044</v>
      </c>
      <c r="I12" s="2" t="s">
        <v>1045</v>
      </c>
      <c r="J12" s="2" t="s">
        <v>1045</v>
      </c>
      <c r="M12" s="2">
        <v>1</v>
      </c>
      <c r="V12" s="3"/>
    </row>
    <row r="13" spans="1:22" x14ac:dyDescent="0.25">
      <c r="A13" s="2" t="s">
        <v>44</v>
      </c>
      <c r="B13" s="2" t="s">
        <v>45</v>
      </c>
      <c r="C13" s="2" t="s">
        <v>786</v>
      </c>
      <c r="D13" s="2" t="s">
        <v>46</v>
      </c>
      <c r="E13" s="2" t="s">
        <v>1010</v>
      </c>
      <c r="F13" s="2">
        <v>1</v>
      </c>
      <c r="G13" s="2" t="s">
        <v>1049</v>
      </c>
      <c r="H13" s="2" t="s">
        <v>1044</v>
      </c>
      <c r="I13" s="2" t="s">
        <v>1045</v>
      </c>
      <c r="J13" s="2" t="s">
        <v>1045</v>
      </c>
      <c r="M13" s="2">
        <v>2</v>
      </c>
      <c r="V13" s="3"/>
    </row>
    <row r="14" spans="1:22" x14ac:dyDescent="0.25">
      <c r="A14" s="2" t="s">
        <v>47</v>
      </c>
      <c r="B14" s="2" t="s">
        <v>47</v>
      </c>
      <c r="C14" s="2" t="s">
        <v>787</v>
      </c>
      <c r="D14" s="2" t="s">
        <v>48</v>
      </c>
      <c r="E14" s="2" t="s">
        <v>1010</v>
      </c>
      <c r="F14" s="2">
        <v>0</v>
      </c>
      <c r="G14" s="2" t="s">
        <v>1026</v>
      </c>
      <c r="H14" s="2" t="s">
        <v>1044</v>
      </c>
      <c r="I14" s="2" t="s">
        <v>1045</v>
      </c>
      <c r="J14" s="2" t="s">
        <v>1045</v>
      </c>
      <c r="M14" s="2">
        <v>1</v>
      </c>
      <c r="V14" s="3"/>
    </row>
    <row r="15" spans="1:22" x14ac:dyDescent="0.25">
      <c r="A15" s="2" t="s">
        <v>49</v>
      </c>
      <c r="B15" s="2" t="s">
        <v>50</v>
      </c>
      <c r="C15" s="2" t="s">
        <v>788</v>
      </c>
      <c r="D15" s="2" t="s">
        <v>51</v>
      </c>
      <c r="E15" s="2" t="s">
        <v>1010</v>
      </c>
      <c r="F15" s="2" t="s">
        <v>1045</v>
      </c>
      <c r="G15" s="2" t="s">
        <v>1027</v>
      </c>
      <c r="H15" s="2" t="s">
        <v>1044</v>
      </c>
      <c r="I15" s="2" t="s">
        <v>1045</v>
      </c>
      <c r="J15" s="2" t="s">
        <v>1045</v>
      </c>
      <c r="V15" s="3"/>
    </row>
    <row r="16" spans="1:22" x14ac:dyDescent="0.25">
      <c r="A16" s="2" t="s">
        <v>52</v>
      </c>
      <c r="B16" s="2" t="s">
        <v>53</v>
      </c>
      <c r="C16" s="2" t="s">
        <v>54</v>
      </c>
      <c r="D16" s="2" t="s">
        <v>55</v>
      </c>
      <c r="E16" s="2" t="s">
        <v>1010</v>
      </c>
      <c r="F16" s="2">
        <v>1</v>
      </c>
      <c r="G16" s="2" t="s">
        <v>1028</v>
      </c>
      <c r="H16" s="2" t="s">
        <v>1050</v>
      </c>
      <c r="I16" s="2" t="s">
        <v>1045</v>
      </c>
      <c r="J16" s="2" t="s">
        <v>1045</v>
      </c>
      <c r="M16" s="2">
        <v>5</v>
      </c>
      <c r="V16" s="3" t="s">
        <v>1070</v>
      </c>
    </row>
    <row r="17" spans="1:22" x14ac:dyDescent="0.25">
      <c r="A17" s="2" t="s">
        <v>56</v>
      </c>
      <c r="B17" s="2" t="s">
        <v>57</v>
      </c>
      <c r="C17" s="2" t="s">
        <v>789</v>
      </c>
      <c r="D17" s="2" t="s">
        <v>58</v>
      </c>
      <c r="E17" s="2" t="s">
        <v>1010</v>
      </c>
      <c r="F17" s="2">
        <v>1</v>
      </c>
      <c r="G17" s="2" t="s">
        <v>1051</v>
      </c>
      <c r="H17" s="2" t="s">
        <v>1050</v>
      </c>
      <c r="I17" s="2" t="s">
        <v>1045</v>
      </c>
      <c r="J17" s="2" t="s">
        <v>1045</v>
      </c>
      <c r="M17" s="2">
        <v>5</v>
      </c>
      <c r="V17" s="3"/>
    </row>
    <row r="18" spans="1:22" x14ac:dyDescent="0.25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1010</v>
      </c>
      <c r="F18" s="2">
        <v>1</v>
      </c>
      <c r="G18" s="2" t="s">
        <v>1030</v>
      </c>
      <c r="H18" s="2" t="s">
        <v>1050</v>
      </c>
      <c r="I18" s="2" t="s">
        <v>1045</v>
      </c>
      <c r="J18" s="2" t="s">
        <v>1045</v>
      </c>
      <c r="M18" s="2">
        <v>5</v>
      </c>
      <c r="V18" s="3" t="s">
        <v>1070</v>
      </c>
    </row>
    <row r="19" spans="1:22" x14ac:dyDescent="0.25">
      <c r="A19" s="2" t="s">
        <v>63</v>
      </c>
      <c r="B19" s="2" t="s">
        <v>64</v>
      </c>
      <c r="C19" s="2" t="s">
        <v>790</v>
      </c>
      <c r="D19" s="2" t="s">
        <v>65</v>
      </c>
      <c r="E19" s="2" t="s">
        <v>1010</v>
      </c>
      <c r="F19" s="2">
        <v>1</v>
      </c>
      <c r="G19" s="2" t="s">
        <v>1046</v>
      </c>
      <c r="H19" s="2" t="s">
        <v>1050</v>
      </c>
      <c r="I19" s="2" t="s">
        <v>1045</v>
      </c>
      <c r="J19" s="2" t="s">
        <v>1045</v>
      </c>
      <c r="M19" s="2">
        <v>5</v>
      </c>
      <c r="V19" s="3"/>
    </row>
    <row r="20" spans="1:22" x14ac:dyDescent="0.25">
      <c r="A20" s="2" t="s">
        <v>66</v>
      </c>
      <c r="B20" s="2" t="s">
        <v>67</v>
      </c>
      <c r="C20" s="2" t="s">
        <v>791</v>
      </c>
      <c r="D20" s="2" t="s">
        <v>68</v>
      </c>
      <c r="E20" s="2" t="s">
        <v>1010</v>
      </c>
      <c r="F20" s="2">
        <v>1</v>
      </c>
      <c r="G20" s="2" t="s">
        <v>1047</v>
      </c>
      <c r="H20" s="2" t="s">
        <v>1050</v>
      </c>
      <c r="I20" s="2" t="s">
        <v>1045</v>
      </c>
      <c r="J20" s="2" t="s">
        <v>1045</v>
      </c>
      <c r="M20" s="2">
        <v>5</v>
      </c>
      <c r="V20" s="3"/>
    </row>
    <row r="21" spans="1:22" x14ac:dyDescent="0.25">
      <c r="A21" s="2" t="s">
        <v>69</v>
      </c>
      <c r="B21" s="2" t="s">
        <v>70</v>
      </c>
      <c r="C21" s="2" t="s">
        <v>792</v>
      </c>
      <c r="D21" s="2" t="s">
        <v>71</v>
      </c>
      <c r="E21" s="2" t="s">
        <v>1010</v>
      </c>
      <c r="F21" s="2">
        <v>1</v>
      </c>
      <c r="G21" s="2" t="s">
        <v>1048</v>
      </c>
      <c r="H21" s="2" t="s">
        <v>1050</v>
      </c>
      <c r="I21" s="2" t="s">
        <v>1045</v>
      </c>
      <c r="J21" s="2" t="s">
        <v>1045</v>
      </c>
      <c r="M21" s="2">
        <v>5</v>
      </c>
      <c r="V21" s="3" t="s">
        <v>1071</v>
      </c>
    </row>
    <row r="22" spans="1:22" x14ac:dyDescent="0.25">
      <c r="A22" s="2" t="s">
        <v>72</v>
      </c>
      <c r="B22" s="2" t="s">
        <v>73</v>
      </c>
      <c r="C22" s="2" t="s">
        <v>793</v>
      </c>
      <c r="D22" s="2" t="s">
        <v>74</v>
      </c>
      <c r="E22" s="2" t="s">
        <v>1010</v>
      </c>
      <c r="F22" s="2">
        <v>1</v>
      </c>
      <c r="G22" s="2" t="s">
        <v>1049</v>
      </c>
      <c r="H22" s="2" t="s">
        <v>1050</v>
      </c>
      <c r="I22" s="2" t="s">
        <v>1045</v>
      </c>
      <c r="J22" s="2" t="s">
        <v>1045</v>
      </c>
      <c r="M22" s="2">
        <v>5</v>
      </c>
      <c r="V22" s="3"/>
    </row>
    <row r="23" spans="1:22" x14ac:dyDescent="0.25">
      <c r="A23" s="2" t="s">
        <v>75</v>
      </c>
      <c r="B23" s="2" t="s">
        <v>76</v>
      </c>
      <c r="C23" s="2" t="s">
        <v>794</v>
      </c>
      <c r="D23" s="2" t="s">
        <v>77</v>
      </c>
      <c r="E23" s="2" t="s">
        <v>1010</v>
      </c>
      <c r="F23" s="2">
        <v>0</v>
      </c>
      <c r="G23" s="2" t="s">
        <v>1028</v>
      </c>
      <c r="H23" s="2" t="s">
        <v>1052</v>
      </c>
      <c r="I23" s="2" t="s">
        <v>1045</v>
      </c>
      <c r="J23" s="2" t="s">
        <v>1045</v>
      </c>
      <c r="M23" s="2">
        <v>3</v>
      </c>
      <c r="V23" s="3"/>
    </row>
    <row r="24" spans="1:22" x14ac:dyDescent="0.25">
      <c r="A24" s="2" t="s">
        <v>78</v>
      </c>
      <c r="B24" s="2" t="s">
        <v>79</v>
      </c>
      <c r="C24" s="2" t="s">
        <v>795</v>
      </c>
      <c r="D24" s="2" t="s">
        <v>80</v>
      </c>
      <c r="E24" s="2" t="s">
        <v>1010</v>
      </c>
      <c r="F24" s="2">
        <v>1</v>
      </c>
      <c r="G24" s="2" t="s">
        <v>1028</v>
      </c>
      <c r="H24" s="2" t="s">
        <v>1052</v>
      </c>
      <c r="I24" s="2" t="s">
        <v>1045</v>
      </c>
      <c r="J24" s="2" t="s">
        <v>1045</v>
      </c>
      <c r="M24" s="2">
        <v>4</v>
      </c>
      <c r="V24" s="3"/>
    </row>
    <row r="25" spans="1:22" x14ac:dyDescent="0.25">
      <c r="A25" s="2" t="s">
        <v>81</v>
      </c>
      <c r="B25" s="2" t="s">
        <v>82</v>
      </c>
      <c r="C25" s="2" t="s">
        <v>83</v>
      </c>
      <c r="D25" s="2" t="s">
        <v>84</v>
      </c>
      <c r="E25" s="2" t="s">
        <v>1010</v>
      </c>
      <c r="F25" s="2">
        <v>0</v>
      </c>
      <c r="G25" s="2" t="s">
        <v>1051</v>
      </c>
      <c r="H25" s="2" t="s">
        <v>1052</v>
      </c>
      <c r="I25" s="2" t="s">
        <v>1045</v>
      </c>
      <c r="J25" s="2" t="s">
        <v>1045</v>
      </c>
      <c r="M25" s="2">
        <v>3</v>
      </c>
      <c r="V25" s="3" t="s">
        <v>1072</v>
      </c>
    </row>
    <row r="26" spans="1:22" x14ac:dyDescent="0.25">
      <c r="A26" s="2" t="s">
        <v>85</v>
      </c>
      <c r="B26" s="2" t="s">
        <v>86</v>
      </c>
      <c r="C26" s="2" t="s">
        <v>87</v>
      </c>
      <c r="D26" s="2" t="s">
        <v>88</v>
      </c>
      <c r="E26" s="2" t="s">
        <v>1010</v>
      </c>
      <c r="F26" s="2">
        <v>1</v>
      </c>
      <c r="G26" s="2" t="s">
        <v>1051</v>
      </c>
      <c r="H26" s="2" t="s">
        <v>1052</v>
      </c>
      <c r="I26" s="2" t="s">
        <v>1045</v>
      </c>
      <c r="J26" s="2" t="s">
        <v>1045</v>
      </c>
      <c r="M26" s="2">
        <v>4</v>
      </c>
      <c r="V26" s="3" t="s">
        <v>1072</v>
      </c>
    </row>
    <row r="27" spans="1:22" x14ac:dyDescent="0.25">
      <c r="A27" s="2" t="s">
        <v>89</v>
      </c>
      <c r="B27" s="2" t="s">
        <v>90</v>
      </c>
      <c r="C27" s="2" t="s">
        <v>796</v>
      </c>
      <c r="D27" s="2" t="s">
        <v>91</v>
      </c>
      <c r="E27" s="2" t="s">
        <v>1010</v>
      </c>
      <c r="F27" s="2">
        <v>0</v>
      </c>
      <c r="G27" s="2" t="s">
        <v>1029</v>
      </c>
      <c r="H27" s="2" t="s">
        <v>1052</v>
      </c>
      <c r="I27" s="2" t="s">
        <v>1045</v>
      </c>
      <c r="J27" s="2" t="s">
        <v>1045</v>
      </c>
      <c r="M27" s="2">
        <v>3</v>
      </c>
      <c r="V27" s="3" t="s">
        <v>1071</v>
      </c>
    </row>
    <row r="28" spans="1:22" x14ac:dyDescent="0.25">
      <c r="A28" s="2" t="s">
        <v>92</v>
      </c>
      <c r="B28" s="2" t="s">
        <v>93</v>
      </c>
      <c r="C28" s="2" t="s">
        <v>94</v>
      </c>
      <c r="D28" s="2" t="s">
        <v>95</v>
      </c>
      <c r="E28" s="2" t="s">
        <v>1010</v>
      </c>
      <c r="F28" s="2">
        <v>1</v>
      </c>
      <c r="G28" s="2" t="s">
        <v>1029</v>
      </c>
      <c r="H28" s="2" t="s">
        <v>1052</v>
      </c>
      <c r="I28" s="2" t="s">
        <v>1045</v>
      </c>
      <c r="J28" s="2" t="s">
        <v>1045</v>
      </c>
      <c r="M28" s="2">
        <v>4</v>
      </c>
      <c r="V28" s="3" t="s">
        <v>1071</v>
      </c>
    </row>
    <row r="29" spans="1:22" x14ac:dyDescent="0.25">
      <c r="A29" s="2" t="s">
        <v>96</v>
      </c>
      <c r="B29" s="2" t="s">
        <v>97</v>
      </c>
      <c r="C29" s="2" t="s">
        <v>98</v>
      </c>
      <c r="D29" s="2" t="s">
        <v>99</v>
      </c>
      <c r="E29" s="2" t="s">
        <v>1010</v>
      </c>
      <c r="F29" s="2">
        <v>0</v>
      </c>
      <c r="G29" s="2" t="s">
        <v>1030</v>
      </c>
      <c r="H29" s="2" t="s">
        <v>1052</v>
      </c>
      <c r="I29" s="2" t="s">
        <v>1045</v>
      </c>
      <c r="J29" s="2" t="s">
        <v>1045</v>
      </c>
      <c r="M29" s="2">
        <v>3</v>
      </c>
      <c r="V29" s="3" t="s">
        <v>1071</v>
      </c>
    </row>
    <row r="30" spans="1:22" x14ac:dyDescent="0.25">
      <c r="A30" s="2" t="s">
        <v>100</v>
      </c>
      <c r="B30" s="2" t="s">
        <v>101</v>
      </c>
      <c r="C30" s="2" t="s">
        <v>102</v>
      </c>
      <c r="D30" s="2" t="s">
        <v>103</v>
      </c>
      <c r="E30" s="2" t="s">
        <v>1010</v>
      </c>
      <c r="F30" s="2">
        <v>1</v>
      </c>
      <c r="G30" s="2" t="s">
        <v>1030</v>
      </c>
      <c r="H30" s="2" t="s">
        <v>1052</v>
      </c>
      <c r="I30" s="2" t="s">
        <v>1045</v>
      </c>
      <c r="J30" s="2" t="s">
        <v>1045</v>
      </c>
      <c r="M30" s="2">
        <v>4</v>
      </c>
      <c r="V30" s="3" t="s">
        <v>1071</v>
      </c>
    </row>
    <row r="31" spans="1:22" x14ac:dyDescent="0.25">
      <c r="A31" s="2" t="s">
        <v>104</v>
      </c>
      <c r="B31" s="2" t="s">
        <v>105</v>
      </c>
      <c r="C31" s="2" t="s">
        <v>797</v>
      </c>
      <c r="D31" s="2" t="s">
        <v>106</v>
      </c>
      <c r="E31" s="2" t="s">
        <v>1010</v>
      </c>
      <c r="F31" s="2">
        <v>0</v>
      </c>
      <c r="G31" s="2" t="s">
        <v>1053</v>
      </c>
      <c r="H31" s="2" t="s">
        <v>1052</v>
      </c>
      <c r="I31" s="2" t="s">
        <v>1045</v>
      </c>
      <c r="J31" s="2" t="s">
        <v>1045</v>
      </c>
      <c r="M31" s="2">
        <v>3</v>
      </c>
      <c r="V31" s="3" t="s">
        <v>1071</v>
      </c>
    </row>
    <row r="32" spans="1:22" x14ac:dyDescent="0.25">
      <c r="A32" s="2" t="s">
        <v>107</v>
      </c>
      <c r="B32" s="2" t="s">
        <v>108</v>
      </c>
      <c r="C32" s="2" t="s">
        <v>798</v>
      </c>
      <c r="D32" s="2" t="s">
        <v>109</v>
      </c>
      <c r="E32" s="2" t="s">
        <v>1010</v>
      </c>
      <c r="F32" s="2">
        <v>1</v>
      </c>
      <c r="G32" s="2" t="s">
        <v>1053</v>
      </c>
      <c r="H32" s="2" t="s">
        <v>1052</v>
      </c>
      <c r="I32" s="2" t="s">
        <v>1045</v>
      </c>
      <c r="J32" s="2" t="s">
        <v>1045</v>
      </c>
      <c r="M32" s="2">
        <v>4</v>
      </c>
      <c r="V32" s="3" t="s">
        <v>1071</v>
      </c>
    </row>
    <row r="33" spans="1:22" x14ac:dyDescent="0.25">
      <c r="A33" s="2" t="s">
        <v>110</v>
      </c>
      <c r="B33" s="2" t="s">
        <v>111</v>
      </c>
      <c r="C33" s="2" t="s">
        <v>799</v>
      </c>
      <c r="D33" s="2" t="s">
        <v>112</v>
      </c>
      <c r="E33" s="2" t="s">
        <v>1010</v>
      </c>
      <c r="F33" s="2">
        <v>0</v>
      </c>
      <c r="G33" s="2" t="s">
        <v>1046</v>
      </c>
      <c r="H33" s="2" t="s">
        <v>1052</v>
      </c>
      <c r="I33" s="2" t="s">
        <v>1045</v>
      </c>
      <c r="J33" s="2" t="s">
        <v>1045</v>
      </c>
      <c r="M33" s="2">
        <v>3</v>
      </c>
      <c r="V33" s="3"/>
    </row>
    <row r="34" spans="1:22" x14ac:dyDescent="0.25">
      <c r="A34" s="2" t="s">
        <v>113</v>
      </c>
      <c r="B34" s="2" t="s">
        <v>114</v>
      </c>
      <c r="C34" s="2" t="s">
        <v>800</v>
      </c>
      <c r="D34" s="2" t="s">
        <v>115</v>
      </c>
      <c r="E34" s="2" t="s">
        <v>1010</v>
      </c>
      <c r="F34" s="2">
        <v>1</v>
      </c>
      <c r="G34" s="2" t="s">
        <v>1046</v>
      </c>
      <c r="H34" s="2" t="s">
        <v>1052</v>
      </c>
      <c r="I34" s="2" t="s">
        <v>1045</v>
      </c>
      <c r="J34" s="2" t="s">
        <v>1045</v>
      </c>
      <c r="M34" s="2">
        <v>4</v>
      </c>
      <c r="V34" s="3"/>
    </row>
    <row r="35" spans="1:22" x14ac:dyDescent="0.25">
      <c r="A35" s="2" t="s">
        <v>116</v>
      </c>
      <c r="B35" s="2" t="s">
        <v>117</v>
      </c>
      <c r="C35" s="2" t="s">
        <v>118</v>
      </c>
      <c r="D35" s="2" t="s">
        <v>119</v>
      </c>
      <c r="E35" s="2" t="s">
        <v>1010</v>
      </c>
      <c r="F35" s="2">
        <v>0</v>
      </c>
      <c r="G35" s="2" t="s">
        <v>1047</v>
      </c>
      <c r="H35" s="2" t="s">
        <v>1052</v>
      </c>
      <c r="I35" s="2" t="s">
        <v>1045</v>
      </c>
      <c r="J35" s="2" t="s">
        <v>1045</v>
      </c>
      <c r="M35" s="2">
        <v>3</v>
      </c>
      <c r="V35" s="3"/>
    </row>
    <row r="36" spans="1:22" x14ac:dyDescent="0.25">
      <c r="A36" s="2" t="s">
        <v>120</v>
      </c>
      <c r="B36" s="2" t="s">
        <v>121</v>
      </c>
      <c r="C36" s="2" t="s">
        <v>801</v>
      </c>
      <c r="D36" s="2" t="s">
        <v>122</v>
      </c>
      <c r="E36" s="2" t="s">
        <v>1010</v>
      </c>
      <c r="F36" s="2">
        <v>1</v>
      </c>
      <c r="G36" s="2" t="s">
        <v>1047</v>
      </c>
      <c r="H36" s="2" t="s">
        <v>1052</v>
      </c>
      <c r="I36" s="2" t="s">
        <v>1045</v>
      </c>
      <c r="J36" s="2" t="s">
        <v>1045</v>
      </c>
      <c r="M36" s="2">
        <v>4</v>
      </c>
      <c r="V36" s="3"/>
    </row>
    <row r="37" spans="1:22" x14ac:dyDescent="0.25">
      <c r="A37" s="2" t="s">
        <v>123</v>
      </c>
      <c r="B37" s="2" t="s">
        <v>124</v>
      </c>
      <c r="C37" s="2" t="s">
        <v>125</v>
      </c>
      <c r="D37" s="2" t="s">
        <v>126</v>
      </c>
      <c r="E37" s="2" t="s">
        <v>1010</v>
      </c>
      <c r="F37" s="2">
        <v>0</v>
      </c>
      <c r="G37" s="2" t="s">
        <v>1048</v>
      </c>
      <c r="H37" s="2" t="s">
        <v>1052</v>
      </c>
      <c r="I37" s="2" t="s">
        <v>1045</v>
      </c>
      <c r="J37" s="2" t="s">
        <v>1045</v>
      </c>
      <c r="M37" s="2">
        <v>3</v>
      </c>
      <c r="V37" s="3"/>
    </row>
    <row r="38" spans="1:22" x14ac:dyDescent="0.25">
      <c r="A38" s="2" t="s">
        <v>127</v>
      </c>
      <c r="B38" s="2" t="s">
        <v>128</v>
      </c>
      <c r="C38" s="2" t="s">
        <v>802</v>
      </c>
      <c r="D38" s="2" t="s">
        <v>129</v>
      </c>
      <c r="E38" s="2" t="s">
        <v>1010</v>
      </c>
      <c r="F38" s="2">
        <v>1</v>
      </c>
      <c r="G38" s="2" t="s">
        <v>1048</v>
      </c>
      <c r="H38" s="2" t="s">
        <v>1052</v>
      </c>
      <c r="I38" s="2" t="s">
        <v>1045</v>
      </c>
      <c r="J38" s="2" t="s">
        <v>1045</v>
      </c>
      <c r="M38" s="2">
        <v>4</v>
      </c>
      <c r="V38" s="3"/>
    </row>
    <row r="39" spans="1:22" x14ac:dyDescent="0.25">
      <c r="A39" s="2" t="s">
        <v>130</v>
      </c>
      <c r="B39" s="2" t="s">
        <v>131</v>
      </c>
      <c r="C39" s="2" t="s">
        <v>803</v>
      </c>
      <c r="D39" s="2" t="s">
        <v>132</v>
      </c>
      <c r="E39" s="2" t="s">
        <v>1010</v>
      </c>
      <c r="F39" s="2">
        <v>0</v>
      </c>
      <c r="G39" s="2" t="s">
        <v>1049</v>
      </c>
      <c r="H39" s="2" t="s">
        <v>1052</v>
      </c>
      <c r="I39" s="2" t="s">
        <v>1045</v>
      </c>
      <c r="J39" s="2" t="s">
        <v>1045</v>
      </c>
      <c r="M39" s="2">
        <v>3</v>
      </c>
      <c r="V39" s="3"/>
    </row>
    <row r="40" spans="1:22" x14ac:dyDescent="0.25">
      <c r="A40" s="2" t="s">
        <v>133</v>
      </c>
      <c r="B40" s="2" t="s">
        <v>134</v>
      </c>
      <c r="C40" s="2" t="s">
        <v>804</v>
      </c>
      <c r="D40" s="2" t="s">
        <v>135</v>
      </c>
      <c r="E40" s="2" t="s">
        <v>1010</v>
      </c>
      <c r="F40" s="2">
        <v>1</v>
      </c>
      <c r="G40" s="2" t="s">
        <v>1049</v>
      </c>
      <c r="H40" s="2" t="s">
        <v>1052</v>
      </c>
      <c r="I40" s="2" t="s">
        <v>1045</v>
      </c>
      <c r="J40" s="2" t="s">
        <v>1045</v>
      </c>
      <c r="M40" s="2">
        <v>4</v>
      </c>
      <c r="U40" s="2">
        <v>1</v>
      </c>
      <c r="V40" s="3"/>
    </row>
    <row r="41" spans="1:22" x14ac:dyDescent="0.25">
      <c r="A41" s="2" t="s">
        <v>136</v>
      </c>
      <c r="B41" s="2" t="s">
        <v>137</v>
      </c>
      <c r="C41" s="2" t="s">
        <v>805</v>
      </c>
      <c r="D41" s="2" t="s">
        <v>138</v>
      </c>
      <c r="E41" s="2" t="s">
        <v>1010</v>
      </c>
      <c r="F41" s="2">
        <v>0</v>
      </c>
      <c r="G41" s="2" t="s">
        <v>1054</v>
      </c>
      <c r="H41" s="2" t="s">
        <v>1052</v>
      </c>
      <c r="I41" s="2" t="s">
        <v>1045</v>
      </c>
      <c r="J41" s="2" t="s">
        <v>1045</v>
      </c>
      <c r="M41" s="2">
        <v>3</v>
      </c>
      <c r="V41" s="3"/>
    </row>
    <row r="42" spans="1:22" x14ac:dyDescent="0.25">
      <c r="A42" s="2" t="s">
        <v>139</v>
      </c>
      <c r="B42" s="2" t="s">
        <v>140</v>
      </c>
      <c r="C42" s="2" t="s">
        <v>806</v>
      </c>
      <c r="D42" s="2" t="s">
        <v>141</v>
      </c>
      <c r="E42" s="2" t="s">
        <v>1010</v>
      </c>
      <c r="F42" s="2">
        <v>1</v>
      </c>
      <c r="G42" s="2" t="s">
        <v>1055</v>
      </c>
      <c r="H42" s="2" t="s">
        <v>1052</v>
      </c>
      <c r="I42" s="2" t="s">
        <v>1045</v>
      </c>
      <c r="J42" s="2" t="s">
        <v>1045</v>
      </c>
      <c r="M42" s="2">
        <v>4</v>
      </c>
      <c r="V42" s="3"/>
    </row>
    <row r="43" spans="1:22" x14ac:dyDescent="0.25">
      <c r="A43" s="2" t="s">
        <v>142</v>
      </c>
      <c r="B43" s="2" t="s">
        <v>143</v>
      </c>
      <c r="C43" s="2" t="s">
        <v>144</v>
      </c>
      <c r="D43" s="2" t="s">
        <v>145</v>
      </c>
      <c r="E43" s="2" t="s">
        <v>1010</v>
      </c>
      <c r="F43" s="2">
        <v>0</v>
      </c>
      <c r="G43" s="2" t="s">
        <v>1026</v>
      </c>
      <c r="H43" s="2" t="s">
        <v>1056</v>
      </c>
      <c r="I43" s="2" t="s">
        <v>1045</v>
      </c>
      <c r="J43" s="2" t="s">
        <v>1045</v>
      </c>
      <c r="L43" s="2">
        <v>1</v>
      </c>
      <c r="M43" s="2">
        <v>3</v>
      </c>
      <c r="V43" s="3" t="s">
        <v>1070</v>
      </c>
    </row>
    <row r="44" spans="1:22" x14ac:dyDescent="0.25">
      <c r="A44" s="2" t="s">
        <v>146</v>
      </c>
      <c r="B44" s="2" t="s">
        <v>147</v>
      </c>
      <c r="C44" s="2" t="s">
        <v>807</v>
      </c>
      <c r="D44" s="2" t="s">
        <v>148</v>
      </c>
      <c r="E44" s="2" t="s">
        <v>1010</v>
      </c>
      <c r="F44" s="2">
        <v>1</v>
      </c>
      <c r="G44" s="2" t="s">
        <v>1026</v>
      </c>
      <c r="H44" s="2" t="s">
        <v>1052</v>
      </c>
      <c r="I44" s="2" t="s">
        <v>1045</v>
      </c>
      <c r="J44" s="2" t="s">
        <v>1045</v>
      </c>
      <c r="M44" s="2">
        <v>4</v>
      </c>
      <c r="V44" s="3"/>
    </row>
    <row r="45" spans="1:22" x14ac:dyDescent="0.25">
      <c r="A45" s="2" t="s">
        <v>149</v>
      </c>
      <c r="B45" s="2" t="s">
        <v>150</v>
      </c>
      <c r="C45" s="2" t="s">
        <v>808</v>
      </c>
      <c r="D45" s="2" t="s">
        <v>151</v>
      </c>
      <c r="E45" s="2" t="s">
        <v>1010</v>
      </c>
      <c r="F45" s="2">
        <v>0</v>
      </c>
      <c r="G45" s="2" t="s">
        <v>1057</v>
      </c>
      <c r="H45" s="2" t="s">
        <v>1052</v>
      </c>
      <c r="I45" s="2" t="s">
        <v>1045</v>
      </c>
      <c r="J45" s="2">
        <v>1</v>
      </c>
      <c r="M45" s="2">
        <v>3</v>
      </c>
      <c r="V45" s="3"/>
    </row>
    <row r="46" spans="1:22" x14ac:dyDescent="0.25">
      <c r="A46" s="2" t="s">
        <v>152</v>
      </c>
      <c r="B46" s="2" t="s">
        <v>153</v>
      </c>
      <c r="C46" s="2" t="s">
        <v>809</v>
      </c>
      <c r="D46" s="2" t="s">
        <v>154</v>
      </c>
      <c r="E46" s="2" t="s">
        <v>1010</v>
      </c>
      <c r="F46" s="2">
        <v>1</v>
      </c>
      <c r="G46" s="2" t="s">
        <v>1057</v>
      </c>
      <c r="H46" s="2" t="s">
        <v>1052</v>
      </c>
      <c r="I46" s="2" t="s">
        <v>1045</v>
      </c>
      <c r="J46" s="2">
        <v>1</v>
      </c>
      <c r="M46" s="2">
        <v>4</v>
      </c>
      <c r="V46" s="3"/>
    </row>
    <row r="47" spans="1:22" x14ac:dyDescent="0.25">
      <c r="A47" s="2" t="s">
        <v>155</v>
      </c>
      <c r="B47" s="2" t="s">
        <v>156</v>
      </c>
      <c r="C47" s="2" t="s">
        <v>810</v>
      </c>
      <c r="D47" s="2" t="s">
        <v>157</v>
      </c>
      <c r="E47" s="2" t="s">
        <v>1010</v>
      </c>
      <c r="F47" s="2">
        <v>0</v>
      </c>
      <c r="G47" s="2" t="s">
        <v>1031</v>
      </c>
      <c r="H47" s="2" t="s">
        <v>1052</v>
      </c>
      <c r="I47" s="2" t="s">
        <v>1045</v>
      </c>
      <c r="J47" s="2" t="s">
        <v>1045</v>
      </c>
      <c r="M47" s="2">
        <v>3</v>
      </c>
      <c r="V47" s="3"/>
    </row>
    <row r="48" spans="1:22" x14ac:dyDescent="0.25">
      <c r="A48" s="2" t="s">
        <v>158</v>
      </c>
      <c r="B48" s="2" t="s">
        <v>159</v>
      </c>
      <c r="C48" s="2" t="s">
        <v>811</v>
      </c>
      <c r="D48" s="2" t="s">
        <v>160</v>
      </c>
      <c r="E48" s="2" t="s">
        <v>1010</v>
      </c>
      <c r="F48" s="2">
        <v>1</v>
      </c>
      <c r="G48" s="2" t="s">
        <v>1031</v>
      </c>
      <c r="H48" s="2" t="s">
        <v>1052</v>
      </c>
      <c r="I48" s="2" t="s">
        <v>1045</v>
      </c>
      <c r="J48" s="2" t="s">
        <v>1045</v>
      </c>
      <c r="M48" s="2">
        <v>4</v>
      </c>
      <c r="V48" s="3"/>
    </row>
    <row r="49" spans="1:22" x14ac:dyDescent="0.25">
      <c r="A49" s="2" t="s">
        <v>161</v>
      </c>
      <c r="B49" s="2" t="s">
        <v>162</v>
      </c>
      <c r="C49" s="2" t="s">
        <v>812</v>
      </c>
      <c r="D49" s="2" t="s">
        <v>163</v>
      </c>
      <c r="E49" s="2" t="s">
        <v>1010</v>
      </c>
      <c r="F49" s="2">
        <v>0</v>
      </c>
      <c r="G49" s="2" t="s">
        <v>1048</v>
      </c>
      <c r="H49" s="2" t="s">
        <v>1052</v>
      </c>
      <c r="I49" s="2" t="s">
        <v>1045</v>
      </c>
      <c r="J49" s="2" t="s">
        <v>1045</v>
      </c>
      <c r="M49" s="2">
        <v>3</v>
      </c>
      <c r="V49" s="3"/>
    </row>
    <row r="50" spans="1:22" x14ac:dyDescent="0.25">
      <c r="A50" s="2" t="s">
        <v>164</v>
      </c>
      <c r="B50" s="2" t="s">
        <v>165</v>
      </c>
      <c r="C50" s="2" t="s">
        <v>813</v>
      </c>
      <c r="D50" s="2" t="s">
        <v>166</v>
      </c>
      <c r="E50" s="2" t="s">
        <v>1010</v>
      </c>
      <c r="F50" s="2">
        <v>0</v>
      </c>
      <c r="G50" s="2" t="s">
        <v>1027</v>
      </c>
      <c r="H50" s="2" t="s">
        <v>1052</v>
      </c>
      <c r="I50" s="2" t="s">
        <v>1045</v>
      </c>
      <c r="J50" s="2" t="s">
        <v>1045</v>
      </c>
      <c r="M50" s="2">
        <v>3</v>
      </c>
      <c r="V50" s="3"/>
    </row>
    <row r="51" spans="1:22" x14ac:dyDescent="0.25">
      <c r="A51" s="2" t="s">
        <v>167</v>
      </c>
      <c r="B51" s="2" t="s">
        <v>168</v>
      </c>
      <c r="C51" s="2" t="s">
        <v>814</v>
      </c>
      <c r="D51" s="2" t="s">
        <v>169</v>
      </c>
      <c r="E51" s="2" t="s">
        <v>1010</v>
      </c>
      <c r="F51" s="2">
        <v>1</v>
      </c>
      <c r="G51" s="2" t="s">
        <v>1027</v>
      </c>
      <c r="H51" s="2" t="s">
        <v>1052</v>
      </c>
      <c r="I51" s="2" t="s">
        <v>1045</v>
      </c>
      <c r="J51" s="2" t="s">
        <v>1045</v>
      </c>
      <c r="M51" s="2">
        <v>4</v>
      </c>
      <c r="V51" s="3"/>
    </row>
    <row r="52" spans="1:22" x14ac:dyDescent="0.25">
      <c r="A52" s="2" t="s">
        <v>170</v>
      </c>
      <c r="B52" s="2" t="s">
        <v>171</v>
      </c>
      <c r="C52" s="2" t="s">
        <v>815</v>
      </c>
      <c r="D52" s="2" t="s">
        <v>172</v>
      </c>
      <c r="E52" s="2" t="s">
        <v>1010</v>
      </c>
      <c r="F52" s="2">
        <v>0</v>
      </c>
      <c r="G52" s="2" t="s">
        <v>1030</v>
      </c>
      <c r="H52" s="2" t="s">
        <v>1058</v>
      </c>
      <c r="I52" s="2" t="s">
        <v>1045</v>
      </c>
      <c r="J52" s="2" t="s">
        <v>1045</v>
      </c>
      <c r="M52" s="2">
        <v>2</v>
      </c>
      <c r="V52" s="3"/>
    </row>
    <row r="53" spans="1:22" x14ac:dyDescent="0.25">
      <c r="A53" s="2" t="s">
        <v>173</v>
      </c>
      <c r="B53" s="2" t="s">
        <v>174</v>
      </c>
      <c r="C53" s="2" t="s">
        <v>816</v>
      </c>
      <c r="D53" s="2" t="s">
        <v>175</v>
      </c>
      <c r="E53" s="2" t="s">
        <v>1010</v>
      </c>
      <c r="F53" s="2">
        <v>1</v>
      </c>
      <c r="G53" s="2" t="s">
        <v>1030</v>
      </c>
      <c r="H53" s="2" t="s">
        <v>1058</v>
      </c>
      <c r="I53" s="2" t="s">
        <v>1045</v>
      </c>
      <c r="J53" s="2" t="s">
        <v>1045</v>
      </c>
      <c r="M53" s="2">
        <v>3</v>
      </c>
      <c r="V53" s="3"/>
    </row>
    <row r="54" spans="1:22" x14ac:dyDescent="0.25">
      <c r="A54" s="2" t="s">
        <v>176</v>
      </c>
      <c r="B54" s="2" t="s">
        <v>177</v>
      </c>
      <c r="C54" s="2" t="s">
        <v>817</v>
      </c>
      <c r="D54" s="2" t="s">
        <v>178</v>
      </c>
      <c r="E54" s="2" t="s">
        <v>1010</v>
      </c>
      <c r="F54" s="2">
        <v>0</v>
      </c>
      <c r="G54" s="2" t="s">
        <v>1031</v>
      </c>
      <c r="H54" s="2" t="s">
        <v>1058</v>
      </c>
      <c r="I54" s="2" t="s">
        <v>1045</v>
      </c>
      <c r="J54" s="2" t="s">
        <v>1045</v>
      </c>
      <c r="M54" s="2">
        <v>2</v>
      </c>
      <c r="V54" s="3" t="s">
        <v>1071</v>
      </c>
    </row>
    <row r="55" spans="1:22" x14ac:dyDescent="0.25">
      <c r="A55" s="2" t="s">
        <v>179</v>
      </c>
      <c r="B55" s="2" t="s">
        <v>180</v>
      </c>
      <c r="C55" s="2" t="s">
        <v>818</v>
      </c>
      <c r="D55" s="2" t="s">
        <v>181</v>
      </c>
      <c r="E55" s="2" t="s">
        <v>1010</v>
      </c>
      <c r="F55" s="2">
        <v>1</v>
      </c>
      <c r="G55" s="2" t="s">
        <v>1031</v>
      </c>
      <c r="H55" s="2" t="s">
        <v>1058</v>
      </c>
      <c r="I55" s="2" t="s">
        <v>1045</v>
      </c>
      <c r="J55" s="2" t="s">
        <v>1045</v>
      </c>
      <c r="M55" s="2">
        <v>3</v>
      </c>
      <c r="V55" s="3" t="s">
        <v>1071</v>
      </c>
    </row>
    <row r="56" spans="1:22" x14ac:dyDescent="0.25">
      <c r="A56" s="2" t="s">
        <v>182</v>
      </c>
      <c r="B56" s="2" t="s">
        <v>183</v>
      </c>
      <c r="C56" s="2" t="s">
        <v>819</v>
      </c>
      <c r="D56" s="2" t="s">
        <v>184</v>
      </c>
      <c r="E56" s="2" t="s">
        <v>1010</v>
      </c>
      <c r="F56" s="2">
        <v>0</v>
      </c>
      <c r="G56" s="2" t="s">
        <v>1047</v>
      </c>
      <c r="H56" s="2" t="s">
        <v>1058</v>
      </c>
      <c r="I56" s="2" t="s">
        <v>1045</v>
      </c>
      <c r="J56" s="2" t="s">
        <v>1045</v>
      </c>
      <c r="M56" s="2">
        <v>2</v>
      </c>
      <c r="V56" s="3"/>
    </row>
    <row r="57" spans="1:22" x14ac:dyDescent="0.25">
      <c r="A57" s="2" t="s">
        <v>182</v>
      </c>
      <c r="B57" s="2" t="s">
        <v>185</v>
      </c>
      <c r="C57" s="2" t="s">
        <v>820</v>
      </c>
      <c r="D57" s="2" t="s">
        <v>186</v>
      </c>
      <c r="E57" s="2" t="s">
        <v>1010</v>
      </c>
      <c r="F57" s="2">
        <v>0</v>
      </c>
      <c r="G57" s="2" t="s">
        <v>1047</v>
      </c>
      <c r="H57" s="2" t="s">
        <v>1058</v>
      </c>
      <c r="I57" s="2" t="s">
        <v>1045</v>
      </c>
      <c r="J57" s="2" t="s">
        <v>1045</v>
      </c>
      <c r="M57" s="2">
        <v>2</v>
      </c>
      <c r="V57" s="3"/>
    </row>
    <row r="58" spans="1:22" x14ac:dyDescent="0.25">
      <c r="A58" s="2" t="s">
        <v>187</v>
      </c>
      <c r="B58" s="2" t="s">
        <v>188</v>
      </c>
      <c r="C58" s="2" t="s">
        <v>821</v>
      </c>
      <c r="D58" s="2" t="s">
        <v>189</v>
      </c>
      <c r="E58" s="2" t="s">
        <v>1010</v>
      </c>
      <c r="F58" s="2">
        <v>0</v>
      </c>
      <c r="G58" s="2" t="s">
        <v>1057</v>
      </c>
      <c r="H58" s="2" t="s">
        <v>1058</v>
      </c>
      <c r="I58" s="2" t="s">
        <v>1045</v>
      </c>
      <c r="J58" s="2">
        <v>1</v>
      </c>
      <c r="M58" s="2">
        <v>2</v>
      </c>
      <c r="V58" s="3"/>
    </row>
    <row r="59" spans="1:22" x14ac:dyDescent="0.25">
      <c r="A59" s="2" t="s">
        <v>190</v>
      </c>
      <c r="B59" s="2" t="s">
        <v>191</v>
      </c>
      <c r="C59" s="2" t="s">
        <v>822</v>
      </c>
      <c r="D59" s="2" t="s">
        <v>192</v>
      </c>
      <c r="E59" s="2" t="s">
        <v>1010</v>
      </c>
      <c r="F59" s="2">
        <v>1</v>
      </c>
      <c r="G59" s="2" t="s">
        <v>1057</v>
      </c>
      <c r="H59" s="2" t="s">
        <v>1058</v>
      </c>
      <c r="I59" s="2" t="s">
        <v>1045</v>
      </c>
      <c r="J59" s="2">
        <v>1</v>
      </c>
      <c r="M59" s="2">
        <v>3</v>
      </c>
      <c r="V59" s="3"/>
    </row>
    <row r="60" spans="1:22" x14ac:dyDescent="0.25">
      <c r="A60" s="2" t="s">
        <v>193</v>
      </c>
      <c r="B60" s="2" t="s">
        <v>194</v>
      </c>
      <c r="C60" s="2" t="s">
        <v>823</v>
      </c>
      <c r="D60" s="2" t="s">
        <v>195</v>
      </c>
      <c r="E60" s="2" t="s">
        <v>1010</v>
      </c>
      <c r="F60" s="2">
        <v>1</v>
      </c>
      <c r="G60" s="2" t="s">
        <v>1028</v>
      </c>
      <c r="H60" s="2" t="s">
        <v>1059</v>
      </c>
      <c r="I60" s="2" t="s">
        <v>1045</v>
      </c>
      <c r="J60" s="2" t="s">
        <v>1045</v>
      </c>
      <c r="L60" s="2">
        <v>1</v>
      </c>
      <c r="M60" s="2">
        <v>7</v>
      </c>
      <c r="V60" s="3"/>
    </row>
    <row r="61" spans="1:22" x14ac:dyDescent="0.25">
      <c r="A61" s="2" t="s">
        <v>196</v>
      </c>
      <c r="B61" s="2" t="s">
        <v>197</v>
      </c>
      <c r="C61" s="2" t="s">
        <v>824</v>
      </c>
      <c r="D61" s="2" t="s">
        <v>198</v>
      </c>
      <c r="E61" s="2" t="s">
        <v>1010</v>
      </c>
      <c r="F61" s="2">
        <v>1</v>
      </c>
      <c r="G61" s="2" t="s">
        <v>1060</v>
      </c>
      <c r="H61" s="2" t="s">
        <v>1061</v>
      </c>
      <c r="I61" s="2">
        <v>1</v>
      </c>
      <c r="J61" s="2" t="s">
        <v>1045</v>
      </c>
      <c r="K61" s="2">
        <v>1</v>
      </c>
      <c r="M61" s="2">
        <v>6</v>
      </c>
      <c r="V61" s="3"/>
    </row>
    <row r="62" spans="1:22" x14ac:dyDescent="0.25">
      <c r="A62" s="2" t="s">
        <v>199</v>
      </c>
      <c r="B62" s="2" t="s">
        <v>200</v>
      </c>
      <c r="C62" s="2" t="s">
        <v>825</v>
      </c>
      <c r="D62" s="2" t="s">
        <v>201</v>
      </c>
      <c r="E62" s="2" t="s">
        <v>1010</v>
      </c>
      <c r="F62" s="2">
        <v>1</v>
      </c>
      <c r="G62" s="2" t="s">
        <v>1030</v>
      </c>
      <c r="H62" s="2" t="s">
        <v>1061</v>
      </c>
      <c r="I62" s="2">
        <v>1</v>
      </c>
      <c r="J62" s="2" t="s">
        <v>1045</v>
      </c>
      <c r="K62" s="2">
        <v>1</v>
      </c>
      <c r="M62" s="2">
        <v>6</v>
      </c>
      <c r="U62" s="2">
        <v>1</v>
      </c>
      <c r="V62" s="3"/>
    </row>
    <row r="63" spans="1:22" x14ac:dyDescent="0.25">
      <c r="A63" s="2" t="s">
        <v>202</v>
      </c>
      <c r="B63" s="2" t="s">
        <v>203</v>
      </c>
      <c r="C63" s="2" t="s">
        <v>204</v>
      </c>
      <c r="D63" s="2" t="s">
        <v>205</v>
      </c>
      <c r="E63" s="2" t="s">
        <v>1010</v>
      </c>
      <c r="F63" s="2">
        <v>1</v>
      </c>
      <c r="G63" s="2" t="s">
        <v>1030</v>
      </c>
      <c r="H63" s="2" t="s">
        <v>1059</v>
      </c>
      <c r="I63" s="2" t="s">
        <v>1045</v>
      </c>
      <c r="J63" s="2" t="s">
        <v>1045</v>
      </c>
      <c r="K63" s="2">
        <v>1</v>
      </c>
      <c r="M63" s="2">
        <v>6</v>
      </c>
      <c r="U63" s="2">
        <v>1</v>
      </c>
      <c r="V63" s="3"/>
    </row>
    <row r="64" spans="1:22" x14ac:dyDescent="0.25">
      <c r="A64" s="2" t="s">
        <v>206</v>
      </c>
      <c r="B64" s="2" t="s">
        <v>207</v>
      </c>
      <c r="C64" s="2" t="s">
        <v>826</v>
      </c>
      <c r="D64" s="2" t="s">
        <v>208</v>
      </c>
      <c r="E64" s="2" t="s">
        <v>1010</v>
      </c>
      <c r="F64" s="2">
        <v>1</v>
      </c>
      <c r="G64" s="2" t="s">
        <v>1030</v>
      </c>
      <c r="H64" s="2" t="s">
        <v>1062</v>
      </c>
      <c r="I64" s="2" t="s">
        <v>1045</v>
      </c>
      <c r="J64" s="2" t="s">
        <v>1045</v>
      </c>
      <c r="K64" s="2">
        <v>1</v>
      </c>
      <c r="M64" s="2">
        <v>6</v>
      </c>
      <c r="U64" s="2">
        <v>1</v>
      </c>
      <c r="V64" s="3" t="s">
        <v>1071</v>
      </c>
    </row>
    <row r="65" spans="1:22" x14ac:dyDescent="0.25">
      <c r="A65" s="2" t="s">
        <v>209</v>
      </c>
      <c r="B65" s="2" t="s">
        <v>210</v>
      </c>
      <c r="C65" s="2" t="s">
        <v>827</v>
      </c>
      <c r="D65" s="2" t="s">
        <v>211</v>
      </c>
      <c r="E65" s="2" t="s">
        <v>1010</v>
      </c>
      <c r="F65" s="2">
        <v>1</v>
      </c>
      <c r="G65" s="2" t="s">
        <v>1046</v>
      </c>
      <c r="H65" s="2" t="s">
        <v>1061</v>
      </c>
      <c r="I65" s="2">
        <v>1</v>
      </c>
      <c r="J65" s="2" t="s">
        <v>1045</v>
      </c>
      <c r="K65" s="2">
        <v>1</v>
      </c>
      <c r="M65" s="2">
        <v>6</v>
      </c>
      <c r="U65" s="2">
        <v>1</v>
      </c>
      <c r="V65" s="3"/>
    </row>
    <row r="66" spans="1:22" x14ac:dyDescent="0.25">
      <c r="A66" s="2" t="s">
        <v>212</v>
      </c>
      <c r="B66" s="2" t="s">
        <v>213</v>
      </c>
      <c r="C66" s="2" t="s">
        <v>828</v>
      </c>
      <c r="D66" s="2" t="s">
        <v>214</v>
      </c>
      <c r="E66" s="2" t="s">
        <v>1010</v>
      </c>
      <c r="F66" s="2">
        <v>1</v>
      </c>
      <c r="G66" s="2" t="s">
        <v>1046</v>
      </c>
      <c r="H66" s="2" t="s">
        <v>1062</v>
      </c>
      <c r="I66" s="2" t="s">
        <v>1045</v>
      </c>
      <c r="J66" s="2" t="s">
        <v>1045</v>
      </c>
      <c r="K66" s="2">
        <v>1</v>
      </c>
      <c r="M66" s="2">
        <v>6</v>
      </c>
      <c r="U66" s="2">
        <v>1</v>
      </c>
      <c r="V66" s="3"/>
    </row>
    <row r="67" spans="1:22" x14ac:dyDescent="0.25">
      <c r="A67" s="2" t="s">
        <v>215</v>
      </c>
      <c r="B67" s="2" t="s">
        <v>216</v>
      </c>
      <c r="C67" s="2" t="s">
        <v>829</v>
      </c>
      <c r="D67" s="2" t="s">
        <v>217</v>
      </c>
      <c r="E67" s="2" t="s">
        <v>1010</v>
      </c>
      <c r="F67" s="2">
        <v>1</v>
      </c>
      <c r="G67" s="2" t="s">
        <v>1049</v>
      </c>
      <c r="H67" s="2" t="s">
        <v>1059</v>
      </c>
      <c r="I67" s="2" t="s">
        <v>1045</v>
      </c>
      <c r="J67" s="2" t="s">
        <v>1045</v>
      </c>
      <c r="K67" s="2">
        <v>1</v>
      </c>
      <c r="M67" s="2">
        <v>6</v>
      </c>
      <c r="U67" s="2">
        <v>1</v>
      </c>
      <c r="V67" s="3"/>
    </row>
    <row r="68" spans="1:22" x14ac:dyDescent="0.25">
      <c r="A68" s="2" t="s">
        <v>218</v>
      </c>
      <c r="B68" s="2" t="s">
        <v>219</v>
      </c>
      <c r="C68" s="2" t="s">
        <v>830</v>
      </c>
      <c r="D68" s="2" t="s">
        <v>220</v>
      </c>
      <c r="E68" s="2" t="s">
        <v>1010</v>
      </c>
      <c r="F68" s="2">
        <v>1</v>
      </c>
      <c r="G68" s="2" t="s">
        <v>1057</v>
      </c>
      <c r="H68" s="2" t="s">
        <v>1061</v>
      </c>
      <c r="I68" s="2">
        <v>1</v>
      </c>
      <c r="J68" s="2">
        <v>1</v>
      </c>
      <c r="K68" s="2">
        <v>1</v>
      </c>
      <c r="M68" s="2">
        <v>6</v>
      </c>
      <c r="V68" s="3"/>
    </row>
    <row r="69" spans="1:22" x14ac:dyDescent="0.25">
      <c r="A69" s="2" t="s">
        <v>221</v>
      </c>
      <c r="B69" s="2" t="s">
        <v>222</v>
      </c>
      <c r="C69" s="2" t="s">
        <v>223</v>
      </c>
      <c r="D69" s="2" t="s">
        <v>224</v>
      </c>
      <c r="E69" s="2" t="s">
        <v>1010</v>
      </c>
      <c r="F69" s="2">
        <v>1</v>
      </c>
      <c r="G69" s="2" t="s">
        <v>1057</v>
      </c>
      <c r="H69" s="2" t="s">
        <v>1062</v>
      </c>
      <c r="I69" s="2" t="s">
        <v>1045</v>
      </c>
      <c r="J69" s="2">
        <v>1</v>
      </c>
      <c r="K69" s="2">
        <v>1</v>
      </c>
      <c r="M69" s="2">
        <v>6</v>
      </c>
      <c r="V69" s="3" t="s">
        <v>1071</v>
      </c>
    </row>
    <row r="70" spans="1:22" x14ac:dyDescent="0.25">
      <c r="A70" s="2" t="s">
        <v>225</v>
      </c>
      <c r="B70" s="2" t="s">
        <v>226</v>
      </c>
      <c r="C70" s="2" t="s">
        <v>831</v>
      </c>
      <c r="D70" s="2" t="s">
        <v>227</v>
      </c>
      <c r="E70" s="2" t="s">
        <v>1010</v>
      </c>
      <c r="F70" s="2">
        <v>1</v>
      </c>
      <c r="G70" s="2" t="s">
        <v>1057</v>
      </c>
      <c r="H70" s="2" t="s">
        <v>1062</v>
      </c>
      <c r="I70" s="2" t="s">
        <v>1045</v>
      </c>
      <c r="J70" s="2">
        <v>1</v>
      </c>
      <c r="K70" s="2">
        <v>1</v>
      </c>
      <c r="M70" s="2">
        <v>6</v>
      </c>
      <c r="V70" s="3"/>
    </row>
    <row r="71" spans="1:22" x14ac:dyDescent="0.25">
      <c r="A71" s="2" t="s">
        <v>228</v>
      </c>
      <c r="B71" s="2" t="s">
        <v>229</v>
      </c>
      <c r="C71" s="2" t="s">
        <v>832</v>
      </c>
      <c r="D71" s="2" t="s">
        <v>230</v>
      </c>
      <c r="E71" s="2" t="s">
        <v>1010</v>
      </c>
      <c r="F71" s="2">
        <v>1</v>
      </c>
      <c r="G71" s="2" t="s">
        <v>1057</v>
      </c>
      <c r="H71" s="2" t="s">
        <v>1063</v>
      </c>
      <c r="I71" s="2" t="s">
        <v>1045</v>
      </c>
      <c r="J71" s="2">
        <v>1</v>
      </c>
      <c r="K71" s="2">
        <v>1</v>
      </c>
      <c r="M71" s="2">
        <v>6</v>
      </c>
      <c r="V71" s="3"/>
    </row>
    <row r="72" spans="1:22" x14ac:dyDescent="0.25">
      <c r="A72" s="2" t="s">
        <v>231</v>
      </c>
      <c r="B72" s="2" t="s">
        <v>232</v>
      </c>
      <c r="C72" s="2" t="s">
        <v>833</v>
      </c>
      <c r="D72" s="2" t="s">
        <v>233</v>
      </c>
      <c r="E72" s="2" t="s">
        <v>1010</v>
      </c>
      <c r="F72" s="2">
        <v>1</v>
      </c>
      <c r="G72" s="2" t="s">
        <v>1057</v>
      </c>
      <c r="H72" s="2" t="s">
        <v>1063</v>
      </c>
      <c r="I72" s="2" t="s">
        <v>1045</v>
      </c>
      <c r="J72" s="2">
        <v>1</v>
      </c>
      <c r="K72" s="2">
        <v>1</v>
      </c>
      <c r="M72" s="2">
        <v>6</v>
      </c>
      <c r="V72" s="3"/>
    </row>
    <row r="73" spans="1:22" x14ac:dyDescent="0.25">
      <c r="A73" s="2" t="s">
        <v>234</v>
      </c>
      <c r="B73" s="2" t="s">
        <v>235</v>
      </c>
      <c r="C73" s="2" t="s">
        <v>834</v>
      </c>
      <c r="D73" s="2" t="s">
        <v>236</v>
      </c>
      <c r="E73" s="2" t="s">
        <v>1010</v>
      </c>
      <c r="F73" s="2">
        <v>1</v>
      </c>
      <c r="G73" s="2" t="s">
        <v>1057</v>
      </c>
      <c r="H73" s="2" t="s">
        <v>1063</v>
      </c>
      <c r="I73" s="2" t="s">
        <v>1045</v>
      </c>
      <c r="J73" s="2">
        <v>1</v>
      </c>
      <c r="K73" s="2">
        <v>1</v>
      </c>
      <c r="M73" s="2">
        <v>6</v>
      </c>
      <c r="V73" s="3"/>
    </row>
    <row r="74" spans="1:22" x14ac:dyDescent="0.25">
      <c r="A74" s="2" t="s">
        <v>237</v>
      </c>
      <c r="B74" s="2" t="s">
        <v>238</v>
      </c>
      <c r="C74" s="2" t="s">
        <v>835</v>
      </c>
      <c r="D74" s="2" t="s">
        <v>239</v>
      </c>
      <c r="E74" s="2" t="s">
        <v>1010</v>
      </c>
      <c r="F74" s="2">
        <v>0</v>
      </c>
      <c r="G74" s="2" t="s">
        <v>1064</v>
      </c>
      <c r="H74" s="2" t="s">
        <v>1052</v>
      </c>
      <c r="I74" s="2" t="s">
        <v>1045</v>
      </c>
      <c r="J74" s="2" t="s">
        <v>1045</v>
      </c>
      <c r="M74" s="2">
        <v>3</v>
      </c>
      <c r="V74" s="3"/>
    </row>
    <row r="75" spans="1:22" x14ac:dyDescent="0.25">
      <c r="A75" s="2" t="s">
        <v>240</v>
      </c>
      <c r="B75" s="2" t="s">
        <v>241</v>
      </c>
      <c r="C75" s="2" t="s">
        <v>242</v>
      </c>
      <c r="D75" s="2" t="s">
        <v>243</v>
      </c>
      <c r="E75" s="2" t="s">
        <v>1010</v>
      </c>
      <c r="F75" s="2">
        <v>1</v>
      </c>
      <c r="G75" s="2" t="s">
        <v>1064</v>
      </c>
      <c r="H75" s="2" t="s">
        <v>1056</v>
      </c>
      <c r="I75" s="2" t="s">
        <v>1045</v>
      </c>
      <c r="J75" s="2" t="s">
        <v>1045</v>
      </c>
      <c r="L75" s="2">
        <v>1</v>
      </c>
      <c r="M75" s="2">
        <v>7</v>
      </c>
      <c r="V75" s="3" t="s">
        <v>1070</v>
      </c>
    </row>
    <row r="76" spans="1:22" x14ac:dyDescent="0.25">
      <c r="A76" s="2" t="s">
        <v>244</v>
      </c>
      <c r="B76" s="2" t="s">
        <v>245</v>
      </c>
      <c r="C76" s="2" t="s">
        <v>836</v>
      </c>
      <c r="D76" s="2" t="s">
        <v>246</v>
      </c>
      <c r="E76" s="2" t="s">
        <v>1010</v>
      </c>
      <c r="F76" s="2">
        <v>1</v>
      </c>
      <c r="G76" s="2" t="s">
        <v>1051</v>
      </c>
      <c r="H76" s="2" t="s">
        <v>1065</v>
      </c>
      <c r="I76" s="2" t="s">
        <v>1045</v>
      </c>
      <c r="J76" s="2" t="s">
        <v>1045</v>
      </c>
      <c r="L76" s="2">
        <v>1</v>
      </c>
      <c r="M76" s="2">
        <v>7</v>
      </c>
      <c r="V76" s="3"/>
    </row>
    <row r="77" spans="1:22" x14ac:dyDescent="0.25">
      <c r="A77" s="2" t="s">
        <v>247</v>
      </c>
      <c r="B77" s="2" t="s">
        <v>248</v>
      </c>
      <c r="C77" s="2" t="s">
        <v>837</v>
      </c>
      <c r="D77" s="2" t="s">
        <v>249</v>
      </c>
      <c r="E77" s="2" t="s">
        <v>1010</v>
      </c>
      <c r="F77" s="2">
        <v>1</v>
      </c>
      <c r="G77" s="2" t="s">
        <v>1066</v>
      </c>
      <c r="H77" s="2" t="s">
        <v>1065</v>
      </c>
      <c r="I77" s="2" t="s">
        <v>1045</v>
      </c>
      <c r="J77" s="2" t="s">
        <v>1045</v>
      </c>
      <c r="L77" s="2">
        <v>1</v>
      </c>
      <c r="M77" s="2">
        <v>7</v>
      </c>
      <c r="V77" s="3"/>
    </row>
    <row r="78" spans="1:22" x14ac:dyDescent="0.25">
      <c r="A78" s="2" t="s">
        <v>250</v>
      </c>
      <c r="B78" s="2" t="s">
        <v>251</v>
      </c>
      <c r="C78" s="2" t="s">
        <v>252</v>
      </c>
      <c r="D78" s="2" t="s">
        <v>253</v>
      </c>
      <c r="E78" s="2" t="s">
        <v>1010</v>
      </c>
      <c r="F78" s="2">
        <v>1</v>
      </c>
      <c r="G78" s="2" t="s">
        <v>1047</v>
      </c>
      <c r="H78" s="2" t="s">
        <v>1056</v>
      </c>
      <c r="I78" s="2" t="s">
        <v>1045</v>
      </c>
      <c r="J78" s="2" t="s">
        <v>1045</v>
      </c>
      <c r="L78" s="2">
        <v>1</v>
      </c>
      <c r="M78" s="2">
        <v>7</v>
      </c>
      <c r="V78" s="3" t="s">
        <v>1070</v>
      </c>
    </row>
    <row r="79" spans="1:22" x14ac:dyDescent="0.25">
      <c r="A79" s="2" t="s">
        <v>254</v>
      </c>
      <c r="B79" s="2" t="s">
        <v>255</v>
      </c>
      <c r="C79" s="2" t="s">
        <v>838</v>
      </c>
      <c r="D79" s="2" t="s">
        <v>256</v>
      </c>
      <c r="E79" s="2" t="s">
        <v>1010</v>
      </c>
      <c r="F79" s="2">
        <v>1</v>
      </c>
      <c r="G79" s="2" t="s">
        <v>1048</v>
      </c>
      <c r="H79" s="2" t="s">
        <v>1065</v>
      </c>
      <c r="I79" s="2" t="s">
        <v>1045</v>
      </c>
      <c r="J79" s="2" t="s">
        <v>1045</v>
      </c>
      <c r="V79" s="3"/>
    </row>
    <row r="80" spans="1:22" x14ac:dyDescent="0.25">
      <c r="A80" s="2" t="s">
        <v>257</v>
      </c>
      <c r="B80" s="2" t="s">
        <v>839</v>
      </c>
      <c r="C80" s="2" t="s">
        <v>840</v>
      </c>
      <c r="D80" s="2" t="s">
        <v>258</v>
      </c>
      <c r="E80" s="2" t="s">
        <v>1011</v>
      </c>
      <c r="F80" s="2" t="s">
        <v>1045</v>
      </c>
      <c r="G80" s="2" t="s">
        <v>1028</v>
      </c>
      <c r="H80" s="2" t="s">
        <v>1067</v>
      </c>
      <c r="I80" s="2" t="s">
        <v>1045</v>
      </c>
      <c r="J80" s="2" t="s">
        <v>1045</v>
      </c>
      <c r="V80" s="3"/>
    </row>
    <row r="81" spans="1:22" x14ac:dyDescent="0.25">
      <c r="A81" s="2" t="s">
        <v>259</v>
      </c>
      <c r="B81" s="2" t="s">
        <v>260</v>
      </c>
      <c r="C81" s="2" t="s">
        <v>841</v>
      </c>
      <c r="D81" s="2" t="s">
        <v>261</v>
      </c>
      <c r="E81" s="2" t="s">
        <v>1011</v>
      </c>
      <c r="F81" s="2" t="s">
        <v>1045</v>
      </c>
      <c r="G81" s="2" t="s">
        <v>1029</v>
      </c>
      <c r="H81" s="2" t="s">
        <v>1067</v>
      </c>
      <c r="I81" s="2" t="s">
        <v>1045</v>
      </c>
      <c r="J81" s="2" t="s">
        <v>1045</v>
      </c>
      <c r="V81" s="3"/>
    </row>
    <row r="82" spans="1:22" x14ac:dyDescent="0.25">
      <c r="A82" s="2" t="s">
        <v>262</v>
      </c>
      <c r="B82" s="2" t="s">
        <v>263</v>
      </c>
      <c r="C82" s="2" t="s">
        <v>842</v>
      </c>
      <c r="D82" s="2" t="s">
        <v>264</v>
      </c>
      <c r="E82" s="2" t="s">
        <v>1011</v>
      </c>
      <c r="F82" s="2" t="s">
        <v>1045</v>
      </c>
      <c r="G82" s="2" t="s">
        <v>1057</v>
      </c>
      <c r="H82" s="2" t="s">
        <v>1067</v>
      </c>
      <c r="I82" s="2" t="s">
        <v>1045</v>
      </c>
      <c r="J82" s="2">
        <v>1</v>
      </c>
      <c r="V82" s="3"/>
    </row>
    <row r="83" spans="1:22" x14ac:dyDescent="0.25">
      <c r="A83" s="2" t="s">
        <v>265</v>
      </c>
      <c r="B83" s="2" t="s">
        <v>266</v>
      </c>
      <c r="C83" s="2" t="s">
        <v>843</v>
      </c>
      <c r="D83" s="2" t="s">
        <v>267</v>
      </c>
      <c r="E83" s="2" t="s">
        <v>1011</v>
      </c>
      <c r="F83" s="2" t="s">
        <v>1045</v>
      </c>
      <c r="G83" s="2" t="s">
        <v>1030</v>
      </c>
      <c r="H83" s="2" t="s">
        <v>1067</v>
      </c>
      <c r="I83" s="2" t="s">
        <v>1045</v>
      </c>
      <c r="J83" s="2" t="s">
        <v>1045</v>
      </c>
      <c r="V83" s="3"/>
    </row>
    <row r="84" spans="1:22" x14ac:dyDescent="0.25">
      <c r="A84" s="2" t="s">
        <v>268</v>
      </c>
      <c r="B84" s="2" t="s">
        <v>269</v>
      </c>
      <c r="C84" s="2" t="s">
        <v>270</v>
      </c>
      <c r="D84" s="2" t="s">
        <v>271</v>
      </c>
      <c r="E84" s="2" t="s">
        <v>1011</v>
      </c>
      <c r="F84" s="2" t="s">
        <v>1045</v>
      </c>
      <c r="G84" s="2" t="s">
        <v>1030</v>
      </c>
      <c r="H84" s="2" t="s">
        <v>1067</v>
      </c>
      <c r="I84" s="2" t="s">
        <v>1045</v>
      </c>
      <c r="J84" s="2" t="s">
        <v>1045</v>
      </c>
      <c r="V84" s="3"/>
    </row>
    <row r="85" spans="1:22" x14ac:dyDescent="0.25">
      <c r="A85" s="2" t="s">
        <v>272</v>
      </c>
      <c r="B85" s="2" t="s">
        <v>273</v>
      </c>
      <c r="C85" s="2" t="s">
        <v>844</v>
      </c>
      <c r="D85" s="2" t="s">
        <v>274</v>
      </c>
      <c r="E85" s="2" t="s">
        <v>1011</v>
      </c>
      <c r="F85" s="2" t="s">
        <v>1045</v>
      </c>
      <c r="G85" s="2" t="s">
        <v>1031</v>
      </c>
      <c r="H85" s="2" t="s">
        <v>1067</v>
      </c>
      <c r="I85" s="2" t="s">
        <v>1045</v>
      </c>
      <c r="J85" s="2" t="s">
        <v>1045</v>
      </c>
      <c r="V85" s="3"/>
    </row>
    <row r="86" spans="1:22" x14ac:dyDescent="0.25">
      <c r="A86" s="2" t="s">
        <v>275</v>
      </c>
      <c r="B86" s="2" t="s">
        <v>276</v>
      </c>
      <c r="C86" s="2" t="s">
        <v>845</v>
      </c>
      <c r="D86" s="2" t="s">
        <v>277</v>
      </c>
      <c r="E86" s="2" t="s">
        <v>1012</v>
      </c>
      <c r="F86" s="2">
        <v>1</v>
      </c>
      <c r="G86" s="2" t="s">
        <v>1028</v>
      </c>
      <c r="H86" s="2" t="s">
        <v>1068</v>
      </c>
      <c r="I86" s="2" t="s">
        <v>1045</v>
      </c>
      <c r="J86" s="2" t="s">
        <v>1045</v>
      </c>
      <c r="V86" s="3"/>
    </row>
    <row r="87" spans="1:22" x14ac:dyDescent="0.25">
      <c r="A87" s="2" t="s">
        <v>278</v>
      </c>
      <c r="B87" s="2" t="s">
        <v>279</v>
      </c>
      <c r="C87" s="2" t="s">
        <v>846</v>
      </c>
      <c r="D87" s="2" t="s">
        <v>280</v>
      </c>
      <c r="E87" s="2" t="s">
        <v>1012</v>
      </c>
      <c r="F87" s="2">
        <v>1</v>
      </c>
      <c r="G87" s="2" t="s">
        <v>1030</v>
      </c>
      <c r="H87" s="2" t="s">
        <v>1068</v>
      </c>
      <c r="I87" s="2" t="s">
        <v>1045</v>
      </c>
      <c r="J87" s="2" t="s">
        <v>1045</v>
      </c>
      <c r="V87" s="3"/>
    </row>
    <row r="88" spans="1:22" x14ac:dyDescent="0.25">
      <c r="A88" s="2" t="s">
        <v>281</v>
      </c>
      <c r="B88" s="2" t="s">
        <v>282</v>
      </c>
      <c r="C88" s="2" t="s">
        <v>847</v>
      </c>
      <c r="D88" s="2" t="s">
        <v>283</v>
      </c>
      <c r="E88" s="2" t="s">
        <v>1012</v>
      </c>
      <c r="F88" s="2">
        <v>1</v>
      </c>
      <c r="G88" s="2" t="s">
        <v>1047</v>
      </c>
      <c r="H88" s="2" t="s">
        <v>1068</v>
      </c>
      <c r="I88" s="2" t="s">
        <v>1045</v>
      </c>
      <c r="J88" s="2" t="s">
        <v>1045</v>
      </c>
      <c r="V88" s="3"/>
    </row>
    <row r="89" spans="1:22" x14ac:dyDescent="0.25">
      <c r="A89" s="2" t="s">
        <v>284</v>
      </c>
      <c r="B89" s="2" t="s">
        <v>285</v>
      </c>
      <c r="C89" s="2" t="s">
        <v>848</v>
      </c>
      <c r="D89" s="2" t="s">
        <v>286</v>
      </c>
      <c r="E89" s="2" t="s">
        <v>1012</v>
      </c>
      <c r="F89" s="2">
        <v>1</v>
      </c>
      <c r="G89" s="2" t="s">
        <v>1048</v>
      </c>
      <c r="H89" s="2" t="s">
        <v>1068</v>
      </c>
      <c r="I89" s="2" t="s">
        <v>1045</v>
      </c>
      <c r="J89" s="2" t="s">
        <v>1045</v>
      </c>
      <c r="V89" s="3"/>
    </row>
    <row r="90" spans="1:22" x14ac:dyDescent="0.25">
      <c r="A90" s="2" t="s">
        <v>287</v>
      </c>
      <c r="B90" s="2" t="s">
        <v>288</v>
      </c>
      <c r="C90" s="2" t="s">
        <v>849</v>
      </c>
      <c r="D90" s="2" t="s">
        <v>289</v>
      </c>
      <c r="E90" s="2" t="s">
        <v>1012</v>
      </c>
      <c r="F90" s="2">
        <v>1</v>
      </c>
      <c r="G90" s="2" t="s">
        <v>1049</v>
      </c>
      <c r="H90" s="2" t="s">
        <v>1068</v>
      </c>
      <c r="I90" s="2" t="s">
        <v>1045</v>
      </c>
      <c r="J90" s="2" t="s">
        <v>1045</v>
      </c>
      <c r="V90" s="3"/>
    </row>
    <row r="91" spans="1:22" x14ac:dyDescent="0.25">
      <c r="A91" s="2" t="s">
        <v>290</v>
      </c>
      <c r="B91" s="2" t="s">
        <v>291</v>
      </c>
      <c r="C91" s="2" t="s">
        <v>292</v>
      </c>
      <c r="D91" s="2" t="s">
        <v>293</v>
      </c>
      <c r="E91" s="2" t="s">
        <v>1013</v>
      </c>
      <c r="F91" s="2" t="s">
        <v>1045</v>
      </c>
      <c r="N91" s="2" t="s">
        <v>1045</v>
      </c>
      <c r="O91" s="2" t="s">
        <v>1045</v>
      </c>
      <c r="P91" s="2">
        <v>1</v>
      </c>
      <c r="Q91" s="2">
        <v>1</v>
      </c>
      <c r="R91" s="2" t="s">
        <v>1045</v>
      </c>
      <c r="S91" s="2" t="s">
        <v>1045</v>
      </c>
      <c r="T91" s="2">
        <v>0</v>
      </c>
      <c r="U91" s="2" t="s">
        <v>1045</v>
      </c>
      <c r="V91" s="3"/>
    </row>
    <row r="92" spans="1:22" x14ac:dyDescent="0.25">
      <c r="A92" s="2" t="s">
        <v>294</v>
      </c>
      <c r="B92" s="2" t="s">
        <v>295</v>
      </c>
      <c r="C92" s="2" t="s">
        <v>296</v>
      </c>
      <c r="D92" s="2" t="s">
        <v>297</v>
      </c>
      <c r="E92" s="2" t="s">
        <v>1013</v>
      </c>
      <c r="F92" s="2" t="s">
        <v>1045</v>
      </c>
      <c r="N92" s="2" t="s">
        <v>1045</v>
      </c>
      <c r="O92" s="2" t="s">
        <v>1045</v>
      </c>
      <c r="P92" s="2">
        <v>1</v>
      </c>
      <c r="Q92" s="2">
        <v>1</v>
      </c>
      <c r="R92" s="2" t="s">
        <v>1045</v>
      </c>
      <c r="S92" s="2" t="s">
        <v>1045</v>
      </c>
      <c r="T92" s="2">
        <v>1</v>
      </c>
      <c r="U92" s="2" t="s">
        <v>1045</v>
      </c>
      <c r="V92" s="3"/>
    </row>
    <row r="93" spans="1:22" x14ac:dyDescent="0.25">
      <c r="A93" s="2" t="s">
        <v>298</v>
      </c>
      <c r="B93" s="2" t="s">
        <v>299</v>
      </c>
      <c r="C93" s="2" t="s">
        <v>850</v>
      </c>
      <c r="D93" s="2" t="s">
        <v>300</v>
      </c>
      <c r="E93" s="2" t="s">
        <v>1013</v>
      </c>
      <c r="F93" s="2" t="s">
        <v>1045</v>
      </c>
      <c r="N93" s="2" t="s">
        <v>1045</v>
      </c>
      <c r="O93" s="2">
        <v>1</v>
      </c>
      <c r="P93" s="2" t="s">
        <v>1045</v>
      </c>
      <c r="Q93" s="2">
        <v>1</v>
      </c>
      <c r="R93" s="2" t="s">
        <v>1045</v>
      </c>
      <c r="S93" s="2" t="s">
        <v>1045</v>
      </c>
      <c r="T93" s="2">
        <v>0</v>
      </c>
      <c r="U93" s="2" t="s">
        <v>1045</v>
      </c>
      <c r="V93" s="3"/>
    </row>
    <row r="94" spans="1:22" x14ac:dyDescent="0.25">
      <c r="A94" s="2" t="s">
        <v>301</v>
      </c>
      <c r="B94" s="2" t="s">
        <v>302</v>
      </c>
      <c r="C94" s="2" t="s">
        <v>851</v>
      </c>
      <c r="D94" s="2" t="s">
        <v>303</v>
      </c>
      <c r="E94" s="2" t="s">
        <v>1013</v>
      </c>
      <c r="F94" s="2" t="s">
        <v>1045</v>
      </c>
      <c r="N94" s="2" t="s">
        <v>1045</v>
      </c>
      <c r="O94" s="2">
        <v>1</v>
      </c>
      <c r="P94" s="2" t="s">
        <v>1045</v>
      </c>
      <c r="Q94" s="2">
        <v>1</v>
      </c>
      <c r="R94" s="2" t="s">
        <v>1045</v>
      </c>
      <c r="S94" s="2" t="s">
        <v>1045</v>
      </c>
      <c r="T94" s="2">
        <v>1</v>
      </c>
      <c r="U94" s="2" t="s">
        <v>1045</v>
      </c>
      <c r="V94" s="3"/>
    </row>
    <row r="95" spans="1:22" x14ac:dyDescent="0.25">
      <c r="A95" s="2" t="s">
        <v>304</v>
      </c>
      <c r="B95" s="2" t="s">
        <v>305</v>
      </c>
      <c r="C95" s="2" t="s">
        <v>852</v>
      </c>
      <c r="D95" s="2" t="s">
        <v>306</v>
      </c>
      <c r="E95" s="2" t="s">
        <v>1013</v>
      </c>
      <c r="F95" s="2" t="s">
        <v>1045</v>
      </c>
      <c r="N95" s="2">
        <v>1</v>
      </c>
      <c r="O95" s="2" t="s">
        <v>1045</v>
      </c>
      <c r="P95" s="2" t="s">
        <v>1045</v>
      </c>
      <c r="Q95" s="2">
        <v>1</v>
      </c>
      <c r="R95" s="2" t="s">
        <v>1045</v>
      </c>
      <c r="S95" s="2" t="s">
        <v>1045</v>
      </c>
      <c r="T95" s="2">
        <v>0</v>
      </c>
      <c r="U95" s="2" t="s">
        <v>1045</v>
      </c>
      <c r="V95" s="3"/>
    </row>
    <row r="96" spans="1:22" x14ac:dyDescent="0.25">
      <c r="A96" s="2" t="s">
        <v>307</v>
      </c>
      <c r="B96" s="2" t="s">
        <v>308</v>
      </c>
      <c r="C96" s="2" t="s">
        <v>309</v>
      </c>
      <c r="D96" s="2" t="s">
        <v>310</v>
      </c>
      <c r="E96" s="2" t="s">
        <v>1013</v>
      </c>
      <c r="F96" s="2" t="s">
        <v>1045</v>
      </c>
      <c r="N96" s="2">
        <v>1</v>
      </c>
      <c r="O96" s="2" t="s">
        <v>1045</v>
      </c>
      <c r="P96" s="2" t="s">
        <v>1045</v>
      </c>
      <c r="Q96" s="2">
        <v>1</v>
      </c>
      <c r="R96" s="2" t="s">
        <v>1045</v>
      </c>
      <c r="S96" s="2" t="s">
        <v>1045</v>
      </c>
      <c r="T96" s="2">
        <v>1</v>
      </c>
      <c r="U96" s="2" t="s">
        <v>1045</v>
      </c>
      <c r="V96" s="3"/>
    </row>
    <row r="97" spans="1:22" x14ac:dyDescent="0.25">
      <c r="A97" s="2" t="s">
        <v>311</v>
      </c>
      <c r="B97" s="2" t="s">
        <v>312</v>
      </c>
      <c r="C97" s="2" t="s">
        <v>853</v>
      </c>
      <c r="D97" s="2" t="s">
        <v>313</v>
      </c>
      <c r="E97" s="2" t="s">
        <v>1013</v>
      </c>
      <c r="F97" s="2" t="s">
        <v>1045</v>
      </c>
      <c r="N97" s="2" t="s">
        <v>1045</v>
      </c>
      <c r="O97" s="2" t="s">
        <v>1045</v>
      </c>
      <c r="P97" s="2">
        <v>1</v>
      </c>
      <c r="Q97" s="2">
        <v>1</v>
      </c>
      <c r="R97" s="2" t="s">
        <v>1045</v>
      </c>
      <c r="S97" s="2" t="s">
        <v>1045</v>
      </c>
      <c r="T97" s="2">
        <v>0</v>
      </c>
      <c r="U97" s="2" t="s">
        <v>1045</v>
      </c>
      <c r="V97" s="3"/>
    </row>
    <row r="98" spans="1:22" x14ac:dyDescent="0.25">
      <c r="A98" s="2" t="s">
        <v>314</v>
      </c>
      <c r="B98" s="2" t="s">
        <v>315</v>
      </c>
      <c r="C98" s="2" t="s">
        <v>854</v>
      </c>
      <c r="D98" s="2" t="s">
        <v>316</v>
      </c>
      <c r="E98" s="2" t="s">
        <v>1013</v>
      </c>
      <c r="F98" s="2" t="s">
        <v>1045</v>
      </c>
      <c r="N98" s="2" t="s">
        <v>1045</v>
      </c>
      <c r="O98" s="2" t="s">
        <v>1045</v>
      </c>
      <c r="P98" s="2">
        <v>1</v>
      </c>
      <c r="Q98" s="2">
        <v>1</v>
      </c>
      <c r="R98" s="2" t="s">
        <v>1045</v>
      </c>
      <c r="S98" s="2" t="s">
        <v>1045</v>
      </c>
      <c r="T98" s="2">
        <v>1</v>
      </c>
      <c r="U98" s="2" t="s">
        <v>1045</v>
      </c>
      <c r="V98" s="3"/>
    </row>
    <row r="99" spans="1:22" x14ac:dyDescent="0.25">
      <c r="A99" s="2" t="s">
        <v>317</v>
      </c>
      <c r="B99" s="2" t="s">
        <v>318</v>
      </c>
      <c r="C99" s="2" t="s">
        <v>855</v>
      </c>
      <c r="D99" s="2" t="s">
        <v>319</v>
      </c>
      <c r="E99" s="2" t="s">
        <v>1013</v>
      </c>
      <c r="F99" s="2" t="s">
        <v>1045</v>
      </c>
      <c r="N99" s="2">
        <v>1</v>
      </c>
      <c r="O99" s="2" t="s">
        <v>1045</v>
      </c>
      <c r="P99" s="2" t="s">
        <v>1045</v>
      </c>
      <c r="Q99" s="2">
        <v>1</v>
      </c>
      <c r="R99" s="2" t="s">
        <v>1045</v>
      </c>
      <c r="S99" s="2" t="s">
        <v>1045</v>
      </c>
      <c r="T99" s="2">
        <v>1</v>
      </c>
      <c r="U99" s="2" t="s">
        <v>1045</v>
      </c>
      <c r="V99" s="3"/>
    </row>
    <row r="100" spans="1:22" x14ac:dyDescent="0.25">
      <c r="A100" s="2" t="s">
        <v>320</v>
      </c>
      <c r="B100" s="2" t="s">
        <v>321</v>
      </c>
      <c r="C100" s="2" t="s">
        <v>322</v>
      </c>
      <c r="D100" s="2" t="s">
        <v>323</v>
      </c>
      <c r="E100" s="2" t="s">
        <v>1013</v>
      </c>
      <c r="F100" s="2" t="s">
        <v>1045</v>
      </c>
      <c r="N100" s="2" t="s">
        <v>1045</v>
      </c>
      <c r="O100" s="2" t="s">
        <v>1045</v>
      </c>
      <c r="P100" s="2">
        <v>1</v>
      </c>
      <c r="Q100" s="2">
        <v>1</v>
      </c>
      <c r="R100" s="2">
        <v>1</v>
      </c>
      <c r="S100" s="2" t="s">
        <v>1045</v>
      </c>
      <c r="T100" s="2">
        <v>0</v>
      </c>
      <c r="U100" s="2" t="s">
        <v>1045</v>
      </c>
      <c r="V100" s="3"/>
    </row>
    <row r="101" spans="1:22" x14ac:dyDescent="0.25">
      <c r="A101" s="2" t="s">
        <v>324</v>
      </c>
      <c r="B101" s="2" t="s">
        <v>325</v>
      </c>
      <c r="C101" s="2" t="s">
        <v>326</v>
      </c>
      <c r="D101" s="2" t="s">
        <v>327</v>
      </c>
      <c r="E101" s="2" t="s">
        <v>1013</v>
      </c>
      <c r="F101" s="2" t="s">
        <v>1045</v>
      </c>
      <c r="N101" s="2" t="s">
        <v>1045</v>
      </c>
      <c r="O101" s="2" t="s">
        <v>1045</v>
      </c>
      <c r="P101" s="2">
        <v>1</v>
      </c>
      <c r="Q101" s="2">
        <v>1</v>
      </c>
      <c r="R101" s="2">
        <v>1</v>
      </c>
      <c r="S101" s="2" t="s">
        <v>1045</v>
      </c>
      <c r="T101" s="2">
        <v>1</v>
      </c>
      <c r="U101" s="2" t="s">
        <v>1045</v>
      </c>
      <c r="V101" s="3"/>
    </row>
    <row r="102" spans="1:22" x14ac:dyDescent="0.25">
      <c r="A102" s="2" t="s">
        <v>328</v>
      </c>
      <c r="B102" s="2" t="s">
        <v>329</v>
      </c>
      <c r="C102" s="2" t="s">
        <v>856</v>
      </c>
      <c r="D102" s="2" t="s">
        <v>330</v>
      </c>
      <c r="E102" s="2" t="s">
        <v>1013</v>
      </c>
      <c r="F102" s="2" t="s">
        <v>1045</v>
      </c>
      <c r="N102" s="2" t="s">
        <v>1045</v>
      </c>
      <c r="O102" s="2">
        <v>1</v>
      </c>
      <c r="P102" s="2" t="s">
        <v>1045</v>
      </c>
      <c r="Q102" s="2">
        <v>1</v>
      </c>
      <c r="R102" s="2">
        <v>1</v>
      </c>
      <c r="S102" s="2" t="s">
        <v>1045</v>
      </c>
      <c r="T102" s="2">
        <v>0</v>
      </c>
      <c r="U102" s="2" t="s">
        <v>1045</v>
      </c>
      <c r="V102" s="3"/>
    </row>
    <row r="103" spans="1:22" x14ac:dyDescent="0.25">
      <c r="A103" s="2" t="s">
        <v>331</v>
      </c>
      <c r="B103" s="2" t="s">
        <v>332</v>
      </c>
      <c r="C103" s="2" t="s">
        <v>857</v>
      </c>
      <c r="D103" s="2" t="s">
        <v>333</v>
      </c>
      <c r="E103" s="2" t="s">
        <v>1013</v>
      </c>
      <c r="F103" s="2" t="s">
        <v>1045</v>
      </c>
      <c r="N103" s="2" t="s">
        <v>1045</v>
      </c>
      <c r="O103" s="2">
        <v>1</v>
      </c>
      <c r="P103" s="2" t="s">
        <v>1045</v>
      </c>
      <c r="Q103" s="2">
        <v>1</v>
      </c>
      <c r="R103" s="2">
        <v>1</v>
      </c>
      <c r="S103" s="2" t="s">
        <v>1045</v>
      </c>
      <c r="T103" s="2">
        <v>1</v>
      </c>
      <c r="U103" s="2" t="s">
        <v>1045</v>
      </c>
      <c r="V103" s="3"/>
    </row>
    <row r="104" spans="1:22" x14ac:dyDescent="0.25">
      <c r="A104" s="2" t="s">
        <v>334</v>
      </c>
      <c r="B104" s="2" t="s">
        <v>858</v>
      </c>
      <c r="C104" s="2" t="s">
        <v>859</v>
      </c>
      <c r="D104" s="2" t="s">
        <v>335</v>
      </c>
      <c r="E104" s="2" t="s">
        <v>1013</v>
      </c>
      <c r="F104" s="2" t="s">
        <v>1045</v>
      </c>
      <c r="N104" s="2">
        <v>1</v>
      </c>
      <c r="O104" s="2" t="s">
        <v>1045</v>
      </c>
      <c r="P104" s="2" t="s">
        <v>1045</v>
      </c>
      <c r="Q104" s="2">
        <v>1</v>
      </c>
      <c r="R104" s="2">
        <v>1</v>
      </c>
      <c r="S104" s="2" t="s">
        <v>1045</v>
      </c>
      <c r="T104" s="2">
        <v>0</v>
      </c>
      <c r="U104" s="2" t="s">
        <v>1045</v>
      </c>
      <c r="V104" s="3"/>
    </row>
    <row r="105" spans="1:22" x14ac:dyDescent="0.25">
      <c r="A105" s="2" t="s">
        <v>336</v>
      </c>
      <c r="B105" s="2" t="s">
        <v>337</v>
      </c>
      <c r="C105" s="2" t="s">
        <v>338</v>
      </c>
      <c r="D105" s="2" t="s">
        <v>339</v>
      </c>
      <c r="E105" s="2" t="s">
        <v>1013</v>
      </c>
      <c r="F105" s="2" t="s">
        <v>1045</v>
      </c>
      <c r="N105" s="2">
        <v>1</v>
      </c>
      <c r="O105" s="2" t="s">
        <v>1045</v>
      </c>
      <c r="P105" s="2" t="s">
        <v>1045</v>
      </c>
      <c r="Q105" s="2" t="s">
        <v>1045</v>
      </c>
      <c r="R105" s="2">
        <v>1</v>
      </c>
      <c r="S105" s="2">
        <v>1</v>
      </c>
      <c r="T105" s="2">
        <v>1</v>
      </c>
      <c r="U105" s="2" t="s">
        <v>1045</v>
      </c>
      <c r="V105" s="3"/>
    </row>
    <row r="106" spans="1:22" x14ac:dyDescent="0.25">
      <c r="A106" s="2" t="s">
        <v>340</v>
      </c>
      <c r="B106" s="2" t="s">
        <v>341</v>
      </c>
      <c r="C106" s="2" t="s">
        <v>860</v>
      </c>
      <c r="D106" s="2" t="s">
        <v>342</v>
      </c>
      <c r="E106" s="2" t="s">
        <v>1013</v>
      </c>
      <c r="F106" s="2" t="s">
        <v>1045</v>
      </c>
      <c r="N106" s="2" t="s">
        <v>1045</v>
      </c>
      <c r="O106" s="2">
        <v>1</v>
      </c>
      <c r="P106" s="2" t="s">
        <v>1045</v>
      </c>
      <c r="Q106" s="2" t="s">
        <v>1045</v>
      </c>
      <c r="R106" s="2">
        <v>1</v>
      </c>
      <c r="S106" s="2" t="s">
        <v>1045</v>
      </c>
      <c r="T106" s="2">
        <v>0</v>
      </c>
      <c r="U106" s="2" t="s">
        <v>1045</v>
      </c>
      <c r="V106" s="3"/>
    </row>
    <row r="107" spans="1:22" x14ac:dyDescent="0.25">
      <c r="A107" s="2" t="s">
        <v>343</v>
      </c>
      <c r="B107" s="2" t="s">
        <v>344</v>
      </c>
      <c r="C107" s="2" t="s">
        <v>861</v>
      </c>
      <c r="D107" s="2" t="s">
        <v>345</v>
      </c>
      <c r="E107" s="2" t="s">
        <v>1013</v>
      </c>
      <c r="F107" s="2" t="s">
        <v>1045</v>
      </c>
      <c r="N107" s="2" t="s">
        <v>1045</v>
      </c>
      <c r="O107" s="2">
        <v>1</v>
      </c>
      <c r="P107" s="2" t="s">
        <v>1045</v>
      </c>
      <c r="Q107" s="2" t="s">
        <v>1045</v>
      </c>
      <c r="R107" s="2">
        <v>1</v>
      </c>
      <c r="S107" s="2" t="s">
        <v>1045</v>
      </c>
      <c r="T107" s="2">
        <v>0</v>
      </c>
      <c r="U107" s="2">
        <v>1</v>
      </c>
      <c r="V107" s="3"/>
    </row>
    <row r="108" spans="1:22" x14ac:dyDescent="0.25">
      <c r="A108" s="2" t="s">
        <v>346</v>
      </c>
      <c r="B108" s="2" t="s">
        <v>347</v>
      </c>
      <c r="C108" s="2" t="s">
        <v>862</v>
      </c>
      <c r="D108" s="2" t="s">
        <v>348</v>
      </c>
      <c r="E108" s="2" t="s">
        <v>1013</v>
      </c>
      <c r="F108" s="2" t="s">
        <v>1045</v>
      </c>
      <c r="N108" s="2" t="s">
        <v>1045</v>
      </c>
      <c r="O108" s="2" t="s">
        <v>1045</v>
      </c>
      <c r="P108" s="2">
        <v>1</v>
      </c>
      <c r="Q108" s="2" t="s">
        <v>1045</v>
      </c>
      <c r="R108" s="2">
        <v>1</v>
      </c>
      <c r="S108" s="2">
        <v>1</v>
      </c>
      <c r="T108" s="2">
        <v>0</v>
      </c>
      <c r="U108" s="2" t="s">
        <v>1045</v>
      </c>
      <c r="V108" s="3"/>
    </row>
    <row r="109" spans="1:22" x14ac:dyDescent="0.25">
      <c r="A109" s="2" t="s">
        <v>349</v>
      </c>
      <c r="B109" s="2" t="s">
        <v>350</v>
      </c>
      <c r="C109" s="2" t="s">
        <v>351</v>
      </c>
      <c r="D109" s="2" t="s">
        <v>352</v>
      </c>
      <c r="E109" s="2" t="s">
        <v>1013</v>
      </c>
      <c r="F109" s="2" t="s">
        <v>1045</v>
      </c>
      <c r="N109" s="2" t="s">
        <v>1045</v>
      </c>
      <c r="O109" s="2" t="s">
        <v>1045</v>
      </c>
      <c r="P109" s="2">
        <v>1</v>
      </c>
      <c r="Q109" s="2" t="s">
        <v>1045</v>
      </c>
      <c r="R109" s="2">
        <v>1</v>
      </c>
      <c r="S109" s="2">
        <v>1</v>
      </c>
      <c r="T109" s="2">
        <v>1</v>
      </c>
      <c r="U109" s="2" t="s">
        <v>1045</v>
      </c>
      <c r="V109" s="3"/>
    </row>
    <row r="110" spans="1:22" x14ac:dyDescent="0.25">
      <c r="A110" s="2" t="s">
        <v>353</v>
      </c>
      <c r="B110" s="2" t="s">
        <v>354</v>
      </c>
      <c r="C110" s="2" t="s">
        <v>863</v>
      </c>
      <c r="D110" s="2" t="s">
        <v>355</v>
      </c>
      <c r="E110" s="2" t="s">
        <v>1013</v>
      </c>
      <c r="F110" s="2" t="s">
        <v>1045</v>
      </c>
      <c r="N110" s="2" t="s">
        <v>1045</v>
      </c>
      <c r="O110" s="2">
        <v>1</v>
      </c>
      <c r="P110" s="2" t="s">
        <v>1045</v>
      </c>
      <c r="Q110" s="2" t="s">
        <v>1045</v>
      </c>
      <c r="R110" s="2">
        <v>1</v>
      </c>
      <c r="S110" s="2">
        <v>1</v>
      </c>
      <c r="T110" s="2">
        <v>0</v>
      </c>
      <c r="U110" s="2" t="s">
        <v>1045</v>
      </c>
      <c r="V110" s="3"/>
    </row>
    <row r="111" spans="1:22" x14ac:dyDescent="0.25">
      <c r="A111" s="2" t="s">
        <v>356</v>
      </c>
      <c r="B111" s="2" t="s">
        <v>357</v>
      </c>
      <c r="C111" s="2" t="s">
        <v>864</v>
      </c>
      <c r="D111" s="2" t="s">
        <v>358</v>
      </c>
      <c r="E111" s="2" t="s">
        <v>1013</v>
      </c>
      <c r="F111" s="2" t="s">
        <v>1045</v>
      </c>
      <c r="N111" s="2" t="s">
        <v>1045</v>
      </c>
      <c r="O111" s="2">
        <v>1</v>
      </c>
      <c r="P111" s="2" t="s">
        <v>1045</v>
      </c>
      <c r="Q111" s="2" t="s">
        <v>1045</v>
      </c>
      <c r="R111" s="2">
        <v>1</v>
      </c>
      <c r="S111" s="2">
        <v>1</v>
      </c>
      <c r="T111" s="2">
        <v>1</v>
      </c>
      <c r="U111" s="2" t="s">
        <v>1045</v>
      </c>
      <c r="V111" s="3"/>
    </row>
    <row r="112" spans="1:22" x14ac:dyDescent="0.25">
      <c r="A112" s="2" t="s">
        <v>359</v>
      </c>
      <c r="B112" s="2" t="s">
        <v>360</v>
      </c>
      <c r="C112" s="2" t="s">
        <v>865</v>
      </c>
      <c r="D112" s="2" t="s">
        <v>361</v>
      </c>
      <c r="E112" s="2" t="s">
        <v>1013</v>
      </c>
      <c r="F112" s="2" t="s">
        <v>1045</v>
      </c>
      <c r="N112" s="2">
        <v>1</v>
      </c>
      <c r="O112" s="2" t="s">
        <v>1045</v>
      </c>
      <c r="P112" s="2" t="s">
        <v>1045</v>
      </c>
      <c r="Q112" s="2" t="s">
        <v>1045</v>
      </c>
      <c r="R112" s="2">
        <v>1</v>
      </c>
      <c r="S112" s="2">
        <v>1</v>
      </c>
      <c r="T112" s="2">
        <v>0</v>
      </c>
      <c r="U112" s="2" t="s">
        <v>1045</v>
      </c>
      <c r="V112" s="3"/>
    </row>
    <row r="113" spans="1:22" x14ac:dyDescent="0.25">
      <c r="A113" s="2" t="s">
        <v>359</v>
      </c>
      <c r="B113" s="2" t="s">
        <v>362</v>
      </c>
      <c r="C113" s="2" t="s">
        <v>866</v>
      </c>
      <c r="D113" s="2" t="s">
        <v>363</v>
      </c>
      <c r="E113" s="2" t="s">
        <v>1013</v>
      </c>
      <c r="F113" s="2" t="s">
        <v>1045</v>
      </c>
      <c r="N113" s="2">
        <v>1</v>
      </c>
      <c r="O113" s="2" t="s">
        <v>1045</v>
      </c>
      <c r="P113" s="2" t="s">
        <v>1045</v>
      </c>
      <c r="Q113" s="2" t="s">
        <v>1045</v>
      </c>
      <c r="R113" s="2">
        <v>1</v>
      </c>
      <c r="S113" s="2">
        <v>1</v>
      </c>
      <c r="T113" s="2">
        <v>0</v>
      </c>
      <c r="U113" s="2" t="s">
        <v>1045</v>
      </c>
      <c r="V113" s="3"/>
    </row>
    <row r="114" spans="1:22" x14ac:dyDescent="0.25">
      <c r="A114" s="2" t="s">
        <v>364</v>
      </c>
      <c r="B114" s="2" t="s">
        <v>365</v>
      </c>
      <c r="C114" s="2" t="s">
        <v>867</v>
      </c>
      <c r="D114" s="2" t="s">
        <v>366</v>
      </c>
      <c r="E114" s="2" t="s">
        <v>1013</v>
      </c>
      <c r="F114" s="2" t="s">
        <v>1045</v>
      </c>
      <c r="N114" s="2" t="s">
        <v>1045</v>
      </c>
      <c r="O114" s="2">
        <v>1</v>
      </c>
      <c r="P114" s="2" t="s">
        <v>1045</v>
      </c>
      <c r="Q114" s="2" t="s">
        <v>1045</v>
      </c>
      <c r="R114" s="2">
        <v>1</v>
      </c>
      <c r="S114" s="2">
        <v>1</v>
      </c>
      <c r="T114" s="2">
        <v>0</v>
      </c>
      <c r="U114" s="2">
        <v>1</v>
      </c>
      <c r="V114" s="3"/>
    </row>
    <row r="115" spans="1:22" x14ac:dyDescent="0.25">
      <c r="A115" s="2" t="s">
        <v>367</v>
      </c>
      <c r="B115" s="2" t="s">
        <v>368</v>
      </c>
      <c r="C115" s="2" t="s">
        <v>369</v>
      </c>
      <c r="D115" s="2" t="s">
        <v>370</v>
      </c>
      <c r="E115" s="2" t="s">
        <v>1013</v>
      </c>
      <c r="F115" s="2" t="s">
        <v>1045</v>
      </c>
      <c r="N115" s="2" t="s">
        <v>1045</v>
      </c>
      <c r="O115" s="2" t="s">
        <v>1045</v>
      </c>
      <c r="P115" s="2">
        <v>1</v>
      </c>
      <c r="Q115" s="2" t="s">
        <v>1045</v>
      </c>
      <c r="R115" s="2" t="s">
        <v>1045</v>
      </c>
      <c r="S115" s="2">
        <v>1</v>
      </c>
      <c r="T115" s="2">
        <v>0</v>
      </c>
      <c r="U115" s="2" t="s">
        <v>1045</v>
      </c>
      <c r="V115" s="3"/>
    </row>
    <row r="116" spans="1:22" x14ac:dyDescent="0.25">
      <c r="A116" s="2" t="s">
        <v>371</v>
      </c>
      <c r="B116" s="2" t="s">
        <v>372</v>
      </c>
      <c r="C116" s="2" t="s">
        <v>868</v>
      </c>
      <c r="D116" s="2" t="s">
        <v>373</v>
      </c>
      <c r="E116" s="2" t="s">
        <v>1013</v>
      </c>
      <c r="F116" s="2" t="s">
        <v>1045</v>
      </c>
      <c r="N116" s="2" t="s">
        <v>1045</v>
      </c>
      <c r="O116" s="2">
        <v>1</v>
      </c>
      <c r="P116" s="2" t="s">
        <v>1045</v>
      </c>
      <c r="Q116" s="2" t="s">
        <v>1045</v>
      </c>
      <c r="R116" s="2" t="s">
        <v>1045</v>
      </c>
      <c r="S116" s="2">
        <v>1</v>
      </c>
      <c r="T116" s="2">
        <v>0</v>
      </c>
      <c r="U116" s="2" t="s">
        <v>1045</v>
      </c>
      <c r="V116" s="3"/>
    </row>
    <row r="117" spans="1:22" x14ac:dyDescent="0.25">
      <c r="A117" s="2" t="s">
        <v>374</v>
      </c>
      <c r="B117" s="2" t="s">
        <v>375</v>
      </c>
      <c r="C117" s="2" t="s">
        <v>376</v>
      </c>
      <c r="D117" s="2" t="s">
        <v>377</v>
      </c>
      <c r="E117" s="2" t="s">
        <v>1013</v>
      </c>
      <c r="F117" s="2" t="s">
        <v>1045</v>
      </c>
      <c r="N117" s="2" t="s">
        <v>1045</v>
      </c>
      <c r="O117" s="2">
        <v>1</v>
      </c>
      <c r="P117" s="2" t="s">
        <v>1045</v>
      </c>
      <c r="Q117" s="2" t="s">
        <v>1045</v>
      </c>
      <c r="R117" s="2" t="s">
        <v>1045</v>
      </c>
      <c r="S117" s="2">
        <v>1</v>
      </c>
      <c r="T117" s="2">
        <v>0</v>
      </c>
      <c r="U117" s="2" t="s">
        <v>1045</v>
      </c>
      <c r="V117" s="3"/>
    </row>
    <row r="118" spans="1:22" x14ac:dyDescent="0.25">
      <c r="A118" s="2" t="s">
        <v>378</v>
      </c>
      <c r="B118" s="2" t="s">
        <v>379</v>
      </c>
      <c r="C118" s="2" t="s">
        <v>869</v>
      </c>
      <c r="D118" s="2" t="s">
        <v>380</v>
      </c>
      <c r="E118" s="2" t="s">
        <v>1013</v>
      </c>
      <c r="F118" s="2" t="s">
        <v>1045</v>
      </c>
      <c r="N118" s="2" t="s">
        <v>1045</v>
      </c>
      <c r="O118" s="2" t="s">
        <v>1045</v>
      </c>
      <c r="P118" s="2">
        <v>1</v>
      </c>
      <c r="Q118" s="2" t="s">
        <v>1045</v>
      </c>
      <c r="R118" s="2" t="s">
        <v>1045</v>
      </c>
      <c r="S118" s="2">
        <v>1</v>
      </c>
      <c r="T118" s="2">
        <v>1</v>
      </c>
      <c r="U118" s="2" t="s">
        <v>1045</v>
      </c>
      <c r="V118" s="3"/>
    </row>
    <row r="119" spans="1:22" x14ac:dyDescent="0.25">
      <c r="A119" s="2" t="s">
        <v>381</v>
      </c>
      <c r="B119" s="2" t="s">
        <v>382</v>
      </c>
      <c r="C119" s="2" t="s">
        <v>870</v>
      </c>
      <c r="D119" s="2" t="s">
        <v>383</v>
      </c>
      <c r="E119" s="2" t="s">
        <v>1013</v>
      </c>
      <c r="F119" s="2" t="s">
        <v>1045</v>
      </c>
      <c r="N119" s="2">
        <v>1</v>
      </c>
      <c r="O119" s="2" t="s">
        <v>1045</v>
      </c>
      <c r="P119" s="2" t="s">
        <v>1045</v>
      </c>
      <c r="Q119" s="2" t="s">
        <v>1045</v>
      </c>
      <c r="R119" s="2" t="s">
        <v>1045</v>
      </c>
      <c r="S119" s="2">
        <v>1</v>
      </c>
      <c r="T119" s="2">
        <v>0</v>
      </c>
      <c r="U119" s="2" t="s">
        <v>1045</v>
      </c>
      <c r="V119" s="3"/>
    </row>
    <row r="120" spans="1:22" x14ac:dyDescent="0.25">
      <c r="A120" s="2" t="s">
        <v>384</v>
      </c>
      <c r="B120" s="2" t="s">
        <v>385</v>
      </c>
      <c r="C120" s="2" t="s">
        <v>871</v>
      </c>
      <c r="D120" s="2" t="s">
        <v>386</v>
      </c>
      <c r="E120" s="2" t="s">
        <v>1013</v>
      </c>
      <c r="F120" s="2" t="s">
        <v>1045</v>
      </c>
      <c r="N120" s="2">
        <v>1</v>
      </c>
      <c r="O120" s="2" t="s">
        <v>1045</v>
      </c>
      <c r="P120" s="2" t="s">
        <v>1045</v>
      </c>
      <c r="Q120" s="2" t="s">
        <v>1045</v>
      </c>
      <c r="R120" s="2" t="s">
        <v>1045</v>
      </c>
      <c r="S120" s="2">
        <v>1</v>
      </c>
      <c r="T120" s="2">
        <v>1</v>
      </c>
      <c r="U120" s="2" t="s">
        <v>1045</v>
      </c>
      <c r="V120" s="3"/>
    </row>
    <row r="121" spans="1:22" x14ac:dyDescent="0.25">
      <c r="A121" s="2" t="s">
        <v>387</v>
      </c>
      <c r="B121" s="2" t="s">
        <v>388</v>
      </c>
      <c r="C121" s="2" t="s">
        <v>872</v>
      </c>
      <c r="D121" s="2" t="s">
        <v>389</v>
      </c>
      <c r="E121" s="2" t="s">
        <v>1014</v>
      </c>
      <c r="F121" s="2" t="s">
        <v>1045</v>
      </c>
      <c r="V121" s="3"/>
    </row>
    <row r="122" spans="1:22" x14ac:dyDescent="0.25">
      <c r="A122" s="2" t="s">
        <v>390</v>
      </c>
      <c r="B122" s="2" t="s">
        <v>873</v>
      </c>
      <c r="C122" s="2" t="s">
        <v>874</v>
      </c>
      <c r="D122" s="2" t="s">
        <v>391</v>
      </c>
      <c r="E122" s="2" t="s">
        <v>1014</v>
      </c>
      <c r="F122" s="2" t="s">
        <v>1045</v>
      </c>
      <c r="V122" s="3"/>
    </row>
    <row r="123" spans="1:22" x14ac:dyDescent="0.25">
      <c r="A123" s="2" t="s">
        <v>392</v>
      </c>
      <c r="B123" s="2" t="s">
        <v>393</v>
      </c>
      <c r="C123" s="2" t="s">
        <v>875</v>
      </c>
      <c r="D123" s="2" t="s">
        <v>394</v>
      </c>
      <c r="E123" s="2" t="s">
        <v>1014</v>
      </c>
      <c r="F123" s="2" t="s">
        <v>1045</v>
      </c>
      <c r="V123" s="3"/>
    </row>
    <row r="124" spans="1:22" x14ac:dyDescent="0.25">
      <c r="A124" s="2" t="s">
        <v>395</v>
      </c>
      <c r="B124" s="2" t="s">
        <v>396</v>
      </c>
      <c r="C124" s="2" t="s">
        <v>876</v>
      </c>
      <c r="D124" s="2" t="s">
        <v>397</v>
      </c>
      <c r="E124" s="2" t="s">
        <v>1014</v>
      </c>
      <c r="F124" s="2" t="s">
        <v>1045</v>
      </c>
      <c r="V124" s="3"/>
    </row>
    <row r="125" spans="1:22" x14ac:dyDescent="0.25">
      <c r="A125" s="2" t="s">
        <v>395</v>
      </c>
      <c r="B125" s="2" t="s">
        <v>398</v>
      </c>
      <c r="C125" s="2" t="s">
        <v>877</v>
      </c>
      <c r="D125" s="2" t="s">
        <v>399</v>
      </c>
      <c r="E125" s="2" t="s">
        <v>1014</v>
      </c>
      <c r="F125" s="2" t="s">
        <v>1045</v>
      </c>
      <c r="V125" s="3"/>
    </row>
    <row r="126" spans="1:22" x14ac:dyDescent="0.25">
      <c r="A126" s="2" t="s">
        <v>400</v>
      </c>
      <c r="B126" s="2" t="s">
        <v>401</v>
      </c>
      <c r="C126" s="2" t="s">
        <v>402</v>
      </c>
      <c r="D126" s="2" t="s">
        <v>403</v>
      </c>
      <c r="E126" s="2" t="s">
        <v>1014</v>
      </c>
      <c r="F126" s="2" t="s">
        <v>1045</v>
      </c>
      <c r="V126" s="3"/>
    </row>
    <row r="127" spans="1:22" x14ac:dyDescent="0.25">
      <c r="A127" s="2" t="s">
        <v>404</v>
      </c>
      <c r="B127" s="2" t="s">
        <v>405</v>
      </c>
      <c r="C127" s="2" t="s">
        <v>878</v>
      </c>
      <c r="D127" s="2" t="s">
        <v>406</v>
      </c>
      <c r="E127" s="2" t="s">
        <v>1014</v>
      </c>
      <c r="F127" s="2" t="s">
        <v>1045</v>
      </c>
      <c r="V127" s="3"/>
    </row>
    <row r="128" spans="1:22" x14ac:dyDescent="0.25">
      <c r="A128" s="2" t="s">
        <v>407</v>
      </c>
      <c r="B128" s="2" t="s">
        <v>408</v>
      </c>
      <c r="C128" s="2" t="s">
        <v>879</v>
      </c>
      <c r="D128" s="2" t="s">
        <v>409</v>
      </c>
      <c r="E128" s="2" t="s">
        <v>1014</v>
      </c>
      <c r="F128" s="2" t="s">
        <v>1045</v>
      </c>
      <c r="V128" s="3"/>
    </row>
    <row r="129" spans="1:22" x14ac:dyDescent="0.25">
      <c r="A129" s="2" t="s">
        <v>410</v>
      </c>
      <c r="B129" s="2" t="s">
        <v>411</v>
      </c>
      <c r="C129" s="2" t="s">
        <v>1015</v>
      </c>
      <c r="D129" s="2" t="s">
        <v>412</v>
      </c>
      <c r="E129" s="2" t="s">
        <v>1014</v>
      </c>
      <c r="F129" s="2" t="s">
        <v>1045</v>
      </c>
      <c r="V129" s="3"/>
    </row>
    <row r="130" spans="1:22" x14ac:dyDescent="0.25">
      <c r="A130" s="2" t="s">
        <v>413</v>
      </c>
      <c r="B130" s="2" t="s">
        <v>414</v>
      </c>
      <c r="C130" s="2" t="s">
        <v>880</v>
      </c>
      <c r="D130" s="2" t="s">
        <v>415</v>
      </c>
      <c r="E130" s="2" t="s">
        <v>1016</v>
      </c>
      <c r="F130" s="2" t="s">
        <v>1045</v>
      </c>
      <c r="V130" s="3"/>
    </row>
    <row r="131" spans="1:22" x14ac:dyDescent="0.25">
      <c r="A131" s="2" t="s">
        <v>416</v>
      </c>
      <c r="B131" s="2" t="s">
        <v>414</v>
      </c>
      <c r="C131" s="2" t="s">
        <v>881</v>
      </c>
      <c r="D131" s="2" t="s">
        <v>417</v>
      </c>
      <c r="E131" s="2" t="s">
        <v>1016</v>
      </c>
      <c r="F131" s="2" t="s">
        <v>1045</v>
      </c>
      <c r="V131" s="3"/>
    </row>
    <row r="132" spans="1:22" x14ac:dyDescent="0.25">
      <c r="A132" s="2" t="s">
        <v>418</v>
      </c>
      <c r="B132" s="2" t="s">
        <v>419</v>
      </c>
      <c r="C132" s="2" t="s">
        <v>882</v>
      </c>
      <c r="D132" s="2" t="s">
        <v>420</v>
      </c>
      <c r="E132" s="2" t="s">
        <v>1016</v>
      </c>
      <c r="F132" s="2" t="s">
        <v>1045</v>
      </c>
      <c r="V132" s="3"/>
    </row>
    <row r="133" spans="1:22" x14ac:dyDescent="0.25">
      <c r="A133" s="2" t="s">
        <v>421</v>
      </c>
      <c r="B133" s="2" t="s">
        <v>422</v>
      </c>
      <c r="C133" s="2" t="s">
        <v>883</v>
      </c>
      <c r="D133" s="2" t="s">
        <v>423</v>
      </c>
      <c r="E133" s="2" t="s">
        <v>1016</v>
      </c>
      <c r="F133" s="2" t="s">
        <v>1045</v>
      </c>
      <c r="V133" s="3"/>
    </row>
    <row r="134" spans="1:22" x14ac:dyDescent="0.25">
      <c r="A134" s="2" t="s">
        <v>424</v>
      </c>
      <c r="B134" s="2" t="s">
        <v>425</v>
      </c>
      <c r="C134" s="2" t="s">
        <v>884</v>
      </c>
      <c r="D134" s="2" t="s">
        <v>426</v>
      </c>
      <c r="E134" s="2" t="s">
        <v>1016</v>
      </c>
      <c r="F134" s="2" t="s">
        <v>1045</v>
      </c>
      <c r="V134" s="3"/>
    </row>
    <row r="135" spans="1:22" x14ac:dyDescent="0.25">
      <c r="B135" s="2" t="s">
        <v>427</v>
      </c>
      <c r="C135" s="2" t="s">
        <v>885</v>
      </c>
      <c r="D135" s="2" t="s">
        <v>428</v>
      </c>
      <c r="E135" s="2" t="s">
        <v>1016</v>
      </c>
      <c r="F135" s="2" t="s">
        <v>1045</v>
      </c>
      <c r="V135" s="3"/>
    </row>
    <row r="136" spans="1:22" x14ac:dyDescent="0.25">
      <c r="A136" s="2" t="s">
        <v>429</v>
      </c>
      <c r="B136" s="2" t="s">
        <v>430</v>
      </c>
      <c r="C136" s="2" t="s">
        <v>886</v>
      </c>
      <c r="D136" s="2" t="s">
        <v>431</v>
      </c>
      <c r="E136" s="2" t="s">
        <v>1016</v>
      </c>
      <c r="F136" s="2" t="s">
        <v>1045</v>
      </c>
      <c r="V136" s="3"/>
    </row>
    <row r="137" spans="1:22" x14ac:dyDescent="0.25">
      <c r="A137" s="2" t="s">
        <v>432</v>
      </c>
      <c r="B137" s="2" t="s">
        <v>433</v>
      </c>
      <c r="C137" s="2" t="s">
        <v>887</v>
      </c>
      <c r="D137" s="2" t="s">
        <v>434</v>
      </c>
      <c r="E137" s="2" t="s">
        <v>1016</v>
      </c>
      <c r="F137" s="2" t="s">
        <v>1045</v>
      </c>
      <c r="V137" s="3"/>
    </row>
    <row r="138" spans="1:22" x14ac:dyDescent="0.25">
      <c r="A138" s="2" t="s">
        <v>435</v>
      </c>
      <c r="B138" s="2" t="s">
        <v>436</v>
      </c>
      <c r="C138" s="2" t="s">
        <v>888</v>
      </c>
      <c r="D138" s="2" t="s">
        <v>437</v>
      </c>
      <c r="E138" s="2" t="s">
        <v>1016</v>
      </c>
      <c r="F138" s="2" t="s">
        <v>1045</v>
      </c>
      <c r="V138" s="3"/>
    </row>
    <row r="139" spans="1:22" x14ac:dyDescent="0.25">
      <c r="A139" s="2" t="s">
        <v>438</v>
      </c>
      <c r="B139" s="2" t="s">
        <v>439</v>
      </c>
      <c r="C139" s="2" t="s">
        <v>889</v>
      </c>
      <c r="D139" s="2" t="s">
        <v>440</v>
      </c>
      <c r="E139" s="2" t="s">
        <v>1016</v>
      </c>
      <c r="F139" s="2" t="s">
        <v>1045</v>
      </c>
      <c r="V139" s="3"/>
    </row>
    <row r="140" spans="1:22" x14ac:dyDescent="0.25">
      <c r="A140" s="2" t="s">
        <v>441</v>
      </c>
      <c r="B140" s="2" t="s">
        <v>442</v>
      </c>
      <c r="C140" s="2" t="s">
        <v>890</v>
      </c>
      <c r="D140" s="2" t="s">
        <v>443</v>
      </c>
      <c r="E140" s="2" t="s">
        <v>1016</v>
      </c>
      <c r="F140" s="2" t="s">
        <v>1045</v>
      </c>
      <c r="V140" s="3"/>
    </row>
    <row r="141" spans="1:22" x14ac:dyDescent="0.25">
      <c r="A141" s="2" t="s">
        <v>444</v>
      </c>
      <c r="B141" s="2" t="s">
        <v>445</v>
      </c>
      <c r="C141" s="2" t="s">
        <v>891</v>
      </c>
      <c r="D141" s="2" t="s">
        <v>446</v>
      </c>
      <c r="E141" s="2" t="s">
        <v>1016</v>
      </c>
      <c r="F141" s="2" t="s">
        <v>1045</v>
      </c>
      <c r="V141" s="3"/>
    </row>
    <row r="142" spans="1:22" x14ac:dyDescent="0.25">
      <c r="A142" s="2" t="s">
        <v>447</v>
      </c>
      <c r="B142" s="2" t="s">
        <v>448</v>
      </c>
      <c r="C142" s="2" t="s">
        <v>892</v>
      </c>
      <c r="D142" s="2" t="s">
        <v>449</v>
      </c>
      <c r="E142" s="2" t="s">
        <v>1016</v>
      </c>
      <c r="F142" s="2" t="s">
        <v>1045</v>
      </c>
      <c r="V142" s="3"/>
    </row>
    <row r="143" spans="1:22" x14ac:dyDescent="0.25">
      <c r="A143" s="2" t="s">
        <v>450</v>
      </c>
      <c r="B143" s="2" t="s">
        <v>451</v>
      </c>
      <c r="C143" s="2" t="s">
        <v>893</v>
      </c>
      <c r="D143" s="2" t="s">
        <v>452</v>
      </c>
      <c r="E143" s="2" t="s">
        <v>1016</v>
      </c>
      <c r="F143" s="2" t="s">
        <v>1045</v>
      </c>
      <c r="V143" s="3"/>
    </row>
    <row r="144" spans="1:22" x14ac:dyDescent="0.25">
      <c r="A144" s="2" t="s">
        <v>453</v>
      </c>
      <c r="B144" s="2" t="s">
        <v>451</v>
      </c>
      <c r="C144" s="2" t="s">
        <v>894</v>
      </c>
      <c r="D144" s="2" t="s">
        <v>454</v>
      </c>
      <c r="E144" s="2" t="s">
        <v>1016</v>
      </c>
      <c r="F144" s="2" t="s">
        <v>1045</v>
      </c>
      <c r="V144" s="3"/>
    </row>
    <row r="145" spans="1:22" x14ac:dyDescent="0.25">
      <c r="A145" s="2" t="s">
        <v>455</v>
      </c>
      <c r="B145" s="2" t="s">
        <v>456</v>
      </c>
      <c r="C145" s="2" t="s">
        <v>895</v>
      </c>
      <c r="D145" s="2" t="s">
        <v>457</v>
      </c>
      <c r="E145" s="2" t="s">
        <v>1016</v>
      </c>
      <c r="F145" s="2" t="s">
        <v>1045</v>
      </c>
      <c r="V145" s="3"/>
    </row>
    <row r="146" spans="1:22" x14ac:dyDescent="0.25">
      <c r="A146" s="2" t="s">
        <v>458</v>
      </c>
      <c r="B146" s="2" t="s">
        <v>459</v>
      </c>
      <c r="C146" s="2" t="s">
        <v>896</v>
      </c>
      <c r="D146" s="2" t="s">
        <v>460</v>
      </c>
      <c r="E146" s="2" t="s">
        <v>1016</v>
      </c>
      <c r="F146" s="2" t="s">
        <v>1045</v>
      </c>
      <c r="V146" s="3"/>
    </row>
    <row r="147" spans="1:22" x14ac:dyDescent="0.25">
      <c r="A147" s="2" t="s">
        <v>461</v>
      </c>
      <c r="B147" s="2" t="s">
        <v>462</v>
      </c>
      <c r="C147" s="2" t="s">
        <v>897</v>
      </c>
      <c r="D147" s="2" t="s">
        <v>463</v>
      </c>
      <c r="E147" s="2" t="s">
        <v>1016</v>
      </c>
      <c r="F147" s="2" t="s">
        <v>1045</v>
      </c>
      <c r="V147" s="3"/>
    </row>
    <row r="148" spans="1:22" x14ac:dyDescent="0.25">
      <c r="A148" s="2" t="s">
        <v>464</v>
      </c>
      <c r="B148" s="2" t="s">
        <v>465</v>
      </c>
      <c r="C148" s="2" t="s">
        <v>898</v>
      </c>
      <c r="D148" s="2" t="s">
        <v>466</v>
      </c>
      <c r="E148" s="2" t="s">
        <v>1016</v>
      </c>
      <c r="F148" s="2" t="s">
        <v>1045</v>
      </c>
      <c r="V148" s="3"/>
    </row>
    <row r="149" spans="1:22" x14ac:dyDescent="0.25">
      <c r="A149" s="2" t="s">
        <v>467</v>
      </c>
      <c r="B149" s="2" t="s">
        <v>468</v>
      </c>
      <c r="C149" s="2" t="s">
        <v>899</v>
      </c>
      <c r="D149" s="2" t="s">
        <v>469</v>
      </c>
      <c r="E149" s="2" t="s">
        <v>1016</v>
      </c>
      <c r="F149" s="2" t="s">
        <v>1045</v>
      </c>
      <c r="V149" s="3"/>
    </row>
    <row r="150" spans="1:22" x14ac:dyDescent="0.25">
      <c r="A150" s="2" t="s">
        <v>470</v>
      </c>
      <c r="B150" s="2" t="s">
        <v>471</v>
      </c>
      <c r="C150" s="2" t="s">
        <v>900</v>
      </c>
      <c r="D150" s="2" t="s">
        <v>472</v>
      </c>
      <c r="E150" s="2" t="s">
        <v>1016</v>
      </c>
      <c r="F150" s="2" t="s">
        <v>1045</v>
      </c>
      <c r="V150" s="3"/>
    </row>
    <row r="151" spans="1:22" x14ac:dyDescent="0.25">
      <c r="A151" s="2" t="s">
        <v>473</v>
      </c>
      <c r="B151" s="2" t="s">
        <v>474</v>
      </c>
      <c r="C151" s="2" t="s">
        <v>901</v>
      </c>
      <c r="D151" s="2" t="s">
        <v>475</v>
      </c>
      <c r="E151" s="2" t="s">
        <v>1016</v>
      </c>
      <c r="F151" s="2" t="s">
        <v>1045</v>
      </c>
      <c r="V151" s="3"/>
    </row>
    <row r="152" spans="1:22" x14ac:dyDescent="0.25">
      <c r="A152" s="2" t="s">
        <v>476</v>
      </c>
      <c r="B152" s="2" t="s">
        <v>477</v>
      </c>
      <c r="C152" s="2" t="s">
        <v>902</v>
      </c>
      <c r="D152" s="2" t="s">
        <v>478</v>
      </c>
      <c r="E152" s="2" t="s">
        <v>1016</v>
      </c>
      <c r="F152" s="2" t="s">
        <v>1045</v>
      </c>
      <c r="V152" s="3"/>
    </row>
    <row r="153" spans="1:22" x14ac:dyDescent="0.25">
      <c r="A153" s="2" t="s">
        <v>479</v>
      </c>
      <c r="B153" s="2" t="s">
        <v>480</v>
      </c>
      <c r="C153" s="2" t="s">
        <v>903</v>
      </c>
      <c r="D153" s="2" t="s">
        <v>481</v>
      </c>
      <c r="E153" s="2" t="s">
        <v>1016</v>
      </c>
      <c r="F153" s="2" t="s">
        <v>1045</v>
      </c>
      <c r="V153" s="3"/>
    </row>
    <row r="154" spans="1:22" x14ac:dyDescent="0.25">
      <c r="A154" s="2" t="s">
        <v>482</v>
      </c>
      <c r="B154" s="2" t="s">
        <v>483</v>
      </c>
      <c r="C154" s="2" t="s">
        <v>904</v>
      </c>
      <c r="D154" s="2" t="s">
        <v>484</v>
      </c>
      <c r="E154" s="2" t="s">
        <v>1016</v>
      </c>
      <c r="F154" s="2" t="s">
        <v>1045</v>
      </c>
      <c r="V154" s="3"/>
    </row>
    <row r="155" spans="1:22" x14ac:dyDescent="0.25">
      <c r="A155" s="2" t="s">
        <v>485</v>
      </c>
      <c r="B155" s="2" t="s">
        <v>486</v>
      </c>
      <c r="C155" s="2" t="s">
        <v>905</v>
      </c>
      <c r="D155" s="2" t="s">
        <v>487</v>
      </c>
      <c r="E155" s="2" t="s">
        <v>1017</v>
      </c>
      <c r="F155" s="2" t="s">
        <v>1045</v>
      </c>
      <c r="V155" s="3"/>
    </row>
    <row r="156" spans="1:22" x14ac:dyDescent="0.25">
      <c r="A156" s="2" t="s">
        <v>488</v>
      </c>
      <c r="B156" s="2" t="s">
        <v>489</v>
      </c>
      <c r="C156" s="2" t="s">
        <v>906</v>
      </c>
      <c r="D156" s="2" t="s">
        <v>490</v>
      </c>
      <c r="E156" s="2" t="s">
        <v>1018</v>
      </c>
      <c r="F156" s="2" t="s">
        <v>1045</v>
      </c>
      <c r="V156" s="3"/>
    </row>
    <row r="157" spans="1:22" x14ac:dyDescent="0.25">
      <c r="A157" s="2" t="s">
        <v>491</v>
      </c>
      <c r="B157" s="2" t="s">
        <v>492</v>
      </c>
      <c r="C157" s="2" t="s">
        <v>907</v>
      </c>
      <c r="D157" s="2" t="s">
        <v>493</v>
      </c>
      <c r="E157" s="2" t="s">
        <v>1018</v>
      </c>
      <c r="F157" s="2" t="s">
        <v>1045</v>
      </c>
      <c r="V157" s="3"/>
    </row>
    <row r="158" spans="1:22" x14ac:dyDescent="0.25">
      <c r="A158" s="2" t="s">
        <v>494</v>
      </c>
      <c r="B158" s="2" t="s">
        <v>495</v>
      </c>
      <c r="C158" s="2" t="s">
        <v>908</v>
      </c>
      <c r="D158" s="2" t="s">
        <v>496</v>
      </c>
      <c r="E158" s="2" t="s">
        <v>1018</v>
      </c>
      <c r="F158" s="2" t="s">
        <v>1045</v>
      </c>
      <c r="V158" s="3"/>
    </row>
    <row r="159" spans="1:22" x14ac:dyDescent="0.25">
      <c r="A159" s="2" t="s">
        <v>497</v>
      </c>
      <c r="B159" s="2" t="s">
        <v>498</v>
      </c>
      <c r="C159" s="2" t="s">
        <v>909</v>
      </c>
      <c r="D159" s="2" t="s">
        <v>499</v>
      </c>
      <c r="E159" s="2" t="s">
        <v>1018</v>
      </c>
      <c r="F159" s="2">
        <v>1</v>
      </c>
      <c r="V159" s="3"/>
    </row>
    <row r="160" spans="1:22" x14ac:dyDescent="0.25">
      <c r="A160" s="2" t="s">
        <v>500</v>
      </c>
      <c r="B160" s="2" t="s">
        <v>501</v>
      </c>
      <c r="C160" s="2" t="s">
        <v>910</v>
      </c>
      <c r="D160" s="2" t="s">
        <v>502</v>
      </c>
      <c r="E160" s="2" t="s">
        <v>1018</v>
      </c>
      <c r="F160" s="2">
        <v>0</v>
      </c>
      <c r="V160" s="3"/>
    </row>
    <row r="161" spans="1:22" x14ac:dyDescent="0.25">
      <c r="A161" s="2" t="s">
        <v>503</v>
      </c>
      <c r="B161" s="2" t="s">
        <v>504</v>
      </c>
      <c r="C161" s="2" t="s">
        <v>911</v>
      </c>
      <c r="D161" s="2" t="s">
        <v>505</v>
      </c>
      <c r="E161" s="2" t="s">
        <v>1018</v>
      </c>
      <c r="F161" s="2" t="s">
        <v>1045</v>
      </c>
      <c r="V161" s="3"/>
    </row>
    <row r="162" spans="1:22" x14ac:dyDescent="0.25">
      <c r="A162" s="2" t="s">
        <v>506</v>
      </c>
      <c r="B162" s="2" t="s">
        <v>507</v>
      </c>
      <c r="C162" s="2" t="s">
        <v>912</v>
      </c>
      <c r="D162" s="2" t="s">
        <v>508</v>
      </c>
      <c r="E162" s="2" t="s">
        <v>1018</v>
      </c>
      <c r="F162" s="2" t="s">
        <v>1045</v>
      </c>
      <c r="V162" s="3"/>
    </row>
    <row r="163" spans="1:22" x14ac:dyDescent="0.25">
      <c r="A163" s="2" t="s">
        <v>509</v>
      </c>
      <c r="B163" s="2" t="s">
        <v>510</v>
      </c>
      <c r="C163" s="2" t="s">
        <v>913</v>
      </c>
      <c r="D163" s="2" t="s">
        <v>511</v>
      </c>
      <c r="E163" s="2" t="s">
        <v>1018</v>
      </c>
      <c r="F163" s="2" t="s">
        <v>1045</v>
      </c>
      <c r="V163" s="3"/>
    </row>
    <row r="164" spans="1:22" x14ac:dyDescent="0.25">
      <c r="A164" s="2" t="s">
        <v>512</v>
      </c>
      <c r="B164" s="2" t="s">
        <v>513</v>
      </c>
      <c r="C164" s="2" t="s">
        <v>914</v>
      </c>
      <c r="D164" s="2" t="s">
        <v>514</v>
      </c>
      <c r="E164" s="2" t="s">
        <v>1018</v>
      </c>
      <c r="F164" s="2" t="s">
        <v>1045</v>
      </c>
      <c r="V164" s="3"/>
    </row>
    <row r="165" spans="1:22" x14ac:dyDescent="0.25">
      <c r="A165" s="2" t="s">
        <v>515</v>
      </c>
      <c r="B165" s="2" t="s">
        <v>516</v>
      </c>
      <c r="C165" s="2" t="s">
        <v>915</v>
      </c>
      <c r="D165" s="2" t="s">
        <v>517</v>
      </c>
      <c r="E165" s="2" t="s">
        <v>1018</v>
      </c>
      <c r="F165" s="2" t="s">
        <v>1045</v>
      </c>
      <c r="V165" s="3"/>
    </row>
    <row r="166" spans="1:22" x14ac:dyDescent="0.25">
      <c r="A166" s="2" t="s">
        <v>518</v>
      </c>
      <c r="B166" s="2" t="s">
        <v>519</v>
      </c>
      <c r="C166" s="2" t="s">
        <v>916</v>
      </c>
      <c r="D166" s="2" t="s">
        <v>520</v>
      </c>
      <c r="E166" s="2" t="s">
        <v>1018</v>
      </c>
      <c r="F166" s="2">
        <v>1</v>
      </c>
      <c r="V166" s="3"/>
    </row>
    <row r="167" spans="1:22" x14ac:dyDescent="0.25">
      <c r="A167" s="2" t="s">
        <v>521</v>
      </c>
      <c r="B167" s="2" t="s">
        <v>522</v>
      </c>
      <c r="C167" s="2" t="s">
        <v>917</v>
      </c>
      <c r="D167" s="2" t="s">
        <v>523</v>
      </c>
      <c r="E167" s="2" t="s">
        <v>1018</v>
      </c>
      <c r="F167" s="2" t="s">
        <v>1045</v>
      </c>
      <c r="V167" s="3"/>
    </row>
    <row r="168" spans="1:22" x14ac:dyDescent="0.25">
      <c r="A168" s="2" t="s">
        <v>524</v>
      </c>
      <c r="B168" s="2" t="s">
        <v>525</v>
      </c>
      <c r="C168" s="2" t="s">
        <v>918</v>
      </c>
      <c r="D168" s="2" t="s">
        <v>526</v>
      </c>
      <c r="E168" s="2" t="s">
        <v>1018</v>
      </c>
      <c r="F168" s="2" t="s">
        <v>1045</v>
      </c>
      <c r="V168" s="3"/>
    </row>
    <row r="169" spans="1:22" x14ac:dyDescent="0.25">
      <c r="A169" s="2" t="s">
        <v>527</v>
      </c>
      <c r="B169" s="2" t="s">
        <v>528</v>
      </c>
      <c r="C169" s="2" t="s">
        <v>919</v>
      </c>
      <c r="D169" s="2" t="s">
        <v>529</v>
      </c>
      <c r="E169" s="2" t="s">
        <v>1018</v>
      </c>
      <c r="F169" s="2" t="s">
        <v>1045</v>
      </c>
      <c r="V169" s="3"/>
    </row>
    <row r="170" spans="1:22" x14ac:dyDescent="0.25">
      <c r="A170" s="2" t="s">
        <v>530</v>
      </c>
      <c r="B170" s="2" t="s">
        <v>531</v>
      </c>
      <c r="C170" s="2" t="s">
        <v>920</v>
      </c>
      <c r="D170" s="2" t="s">
        <v>532</v>
      </c>
      <c r="E170" s="2" t="s">
        <v>1018</v>
      </c>
      <c r="F170" s="2">
        <v>1</v>
      </c>
      <c r="V170" s="3"/>
    </row>
    <row r="171" spans="1:22" x14ac:dyDescent="0.25">
      <c r="A171" s="2" t="s">
        <v>533</v>
      </c>
      <c r="B171" s="2" t="s">
        <v>534</v>
      </c>
      <c r="C171" s="2" t="s">
        <v>921</v>
      </c>
      <c r="D171" s="2" t="s">
        <v>535</v>
      </c>
      <c r="E171" s="2" t="s">
        <v>1018</v>
      </c>
      <c r="F171" s="2" t="s">
        <v>1045</v>
      </c>
      <c r="V171" s="3"/>
    </row>
    <row r="172" spans="1:22" x14ac:dyDescent="0.25">
      <c r="A172" s="2" t="s">
        <v>536</v>
      </c>
      <c r="B172" s="2" t="s">
        <v>537</v>
      </c>
      <c r="C172" s="2" t="s">
        <v>922</v>
      </c>
      <c r="D172" s="2" t="s">
        <v>538</v>
      </c>
      <c r="E172" s="2" t="s">
        <v>1018</v>
      </c>
      <c r="F172" s="2" t="s">
        <v>1045</v>
      </c>
      <c r="V172" s="3"/>
    </row>
    <row r="173" spans="1:22" x14ac:dyDescent="0.25">
      <c r="A173" s="2" t="s">
        <v>539</v>
      </c>
      <c r="B173" s="2" t="s">
        <v>540</v>
      </c>
      <c r="C173" s="2" t="s">
        <v>923</v>
      </c>
      <c r="D173" s="2" t="s">
        <v>541</v>
      </c>
      <c r="E173" s="2" t="s">
        <v>1018</v>
      </c>
      <c r="F173" s="2" t="s">
        <v>1045</v>
      </c>
      <c r="V173" s="3"/>
    </row>
    <row r="174" spans="1:22" x14ac:dyDescent="0.25">
      <c r="A174" s="2" t="s">
        <v>542</v>
      </c>
      <c r="B174" s="2" t="s">
        <v>543</v>
      </c>
      <c r="C174" s="2" t="s">
        <v>924</v>
      </c>
      <c r="D174" s="2" t="s">
        <v>544</v>
      </c>
      <c r="E174" s="2" t="s">
        <v>1018</v>
      </c>
      <c r="F174" s="2" t="s">
        <v>1045</v>
      </c>
      <c r="V174" s="3"/>
    </row>
    <row r="175" spans="1:22" x14ac:dyDescent="0.25">
      <c r="A175" s="2" t="s">
        <v>545</v>
      </c>
      <c r="B175" s="2" t="s">
        <v>546</v>
      </c>
      <c r="C175" s="2" t="s">
        <v>925</v>
      </c>
      <c r="D175" s="2" t="s">
        <v>547</v>
      </c>
      <c r="E175" s="2" t="s">
        <v>1018</v>
      </c>
      <c r="F175" s="2" t="s">
        <v>1045</v>
      </c>
      <c r="V175" s="3"/>
    </row>
    <row r="176" spans="1:22" x14ac:dyDescent="0.25">
      <c r="A176" s="2" t="s">
        <v>548</v>
      </c>
      <c r="B176" s="2" t="s">
        <v>549</v>
      </c>
      <c r="C176" s="2" t="s">
        <v>926</v>
      </c>
      <c r="D176" s="2" t="s">
        <v>550</v>
      </c>
      <c r="E176" s="2" t="s">
        <v>1018</v>
      </c>
      <c r="F176" s="2" t="s">
        <v>1045</v>
      </c>
      <c r="V176" s="3"/>
    </row>
    <row r="177" spans="1:22" x14ac:dyDescent="0.25">
      <c r="A177" s="2" t="s">
        <v>551</v>
      </c>
      <c r="B177" s="2" t="s">
        <v>552</v>
      </c>
      <c r="C177" s="2" t="s">
        <v>927</v>
      </c>
      <c r="D177" s="2" t="s">
        <v>553</v>
      </c>
      <c r="E177" s="2" t="s">
        <v>1018</v>
      </c>
      <c r="F177" s="2" t="s">
        <v>1045</v>
      </c>
      <c r="V177" s="3"/>
    </row>
    <row r="178" spans="1:22" x14ac:dyDescent="0.25">
      <c r="A178" s="2" t="s">
        <v>554</v>
      </c>
      <c r="B178" s="2" t="s">
        <v>555</v>
      </c>
      <c r="C178" s="2" t="s">
        <v>928</v>
      </c>
      <c r="D178" s="2" t="s">
        <v>556</v>
      </c>
      <c r="E178" s="2" t="s">
        <v>1018</v>
      </c>
      <c r="F178" s="2" t="s">
        <v>1045</v>
      </c>
      <c r="V178" s="3"/>
    </row>
    <row r="179" spans="1:22" x14ac:dyDescent="0.25">
      <c r="A179" s="2" t="s">
        <v>554</v>
      </c>
      <c r="B179" s="2" t="s">
        <v>557</v>
      </c>
      <c r="C179" s="2" t="s">
        <v>929</v>
      </c>
      <c r="D179" s="2" t="s">
        <v>558</v>
      </c>
      <c r="E179" s="2" t="s">
        <v>1018</v>
      </c>
      <c r="F179" s="2" t="s">
        <v>1045</v>
      </c>
      <c r="V179" s="3"/>
    </row>
    <row r="180" spans="1:22" x14ac:dyDescent="0.25">
      <c r="A180" s="2" t="s">
        <v>559</v>
      </c>
      <c r="B180" s="2" t="s">
        <v>560</v>
      </c>
      <c r="C180" s="2" t="s">
        <v>930</v>
      </c>
      <c r="D180" s="2" t="s">
        <v>561</v>
      </c>
      <c r="E180" s="2" t="s">
        <v>1018</v>
      </c>
      <c r="F180" s="2" t="s">
        <v>1045</v>
      </c>
      <c r="V180" s="3"/>
    </row>
    <row r="181" spans="1:22" x14ac:dyDescent="0.25">
      <c r="A181" s="2" t="s">
        <v>559</v>
      </c>
      <c r="B181" s="2" t="s">
        <v>562</v>
      </c>
      <c r="C181" s="2" t="s">
        <v>931</v>
      </c>
      <c r="D181" s="2" t="s">
        <v>563</v>
      </c>
      <c r="E181" s="2" t="s">
        <v>1018</v>
      </c>
      <c r="F181" s="2" t="s">
        <v>1045</v>
      </c>
      <c r="V181" s="3"/>
    </row>
    <row r="182" spans="1:22" x14ac:dyDescent="0.25">
      <c r="A182" s="2" t="s">
        <v>564</v>
      </c>
      <c r="B182" s="2" t="s">
        <v>565</v>
      </c>
      <c r="C182" s="2" t="s">
        <v>932</v>
      </c>
      <c r="D182" s="2" t="s">
        <v>566</v>
      </c>
      <c r="E182" s="2" t="s">
        <v>1019</v>
      </c>
      <c r="F182" s="2" t="s">
        <v>1045</v>
      </c>
      <c r="V182" s="3"/>
    </row>
    <row r="183" spans="1:22" x14ac:dyDescent="0.25">
      <c r="A183" s="2" t="s">
        <v>567</v>
      </c>
      <c r="B183" s="2" t="s">
        <v>568</v>
      </c>
      <c r="C183" s="2" t="s">
        <v>933</v>
      </c>
      <c r="D183" s="2" t="s">
        <v>569</v>
      </c>
      <c r="E183" s="2" t="s">
        <v>1019</v>
      </c>
      <c r="F183" s="2" t="s">
        <v>1045</v>
      </c>
      <c r="V183" s="3"/>
    </row>
    <row r="184" spans="1:22" x14ac:dyDescent="0.25">
      <c r="A184" s="2" t="s">
        <v>570</v>
      </c>
      <c r="B184" s="2" t="s">
        <v>571</v>
      </c>
      <c r="C184" s="2" t="s">
        <v>934</v>
      </c>
      <c r="D184" s="2" t="s">
        <v>572</v>
      </c>
      <c r="E184" s="2" t="s">
        <v>1019</v>
      </c>
      <c r="F184" s="2" t="s">
        <v>1045</v>
      </c>
      <c r="V184" s="3"/>
    </row>
    <row r="185" spans="1:22" x14ac:dyDescent="0.25">
      <c r="A185" s="2" t="s">
        <v>573</v>
      </c>
      <c r="B185" s="2" t="s">
        <v>574</v>
      </c>
      <c r="C185" s="2" t="s">
        <v>935</v>
      </c>
      <c r="D185" s="2" t="s">
        <v>575</v>
      </c>
      <c r="E185" s="2" t="s">
        <v>1019</v>
      </c>
      <c r="F185" s="2" t="s">
        <v>1045</v>
      </c>
      <c r="V185" s="3"/>
    </row>
    <row r="186" spans="1:22" x14ac:dyDescent="0.25">
      <c r="A186" s="2" t="s">
        <v>576</v>
      </c>
      <c r="B186" s="2" t="s">
        <v>577</v>
      </c>
      <c r="C186" s="2" t="s">
        <v>936</v>
      </c>
      <c r="D186" s="2" t="s">
        <v>578</v>
      </c>
      <c r="E186" s="2" t="s">
        <v>1019</v>
      </c>
      <c r="F186" s="2" t="s">
        <v>1045</v>
      </c>
      <c r="V186" s="3"/>
    </row>
    <row r="187" spans="1:22" x14ac:dyDescent="0.25">
      <c r="A187" s="2" t="s">
        <v>579</v>
      </c>
      <c r="B187" s="2" t="s">
        <v>937</v>
      </c>
      <c r="C187" s="2" t="s">
        <v>938</v>
      </c>
      <c r="D187" s="2" t="s">
        <v>580</v>
      </c>
      <c r="E187" s="2" t="s">
        <v>1019</v>
      </c>
      <c r="F187" s="2" t="s">
        <v>1045</v>
      </c>
      <c r="V187" s="3"/>
    </row>
    <row r="188" spans="1:22" x14ac:dyDescent="0.25">
      <c r="A188" s="2" t="s">
        <v>581</v>
      </c>
      <c r="B188" s="2" t="s">
        <v>582</v>
      </c>
      <c r="C188" s="2" t="s">
        <v>939</v>
      </c>
      <c r="D188" s="2" t="s">
        <v>583</v>
      </c>
      <c r="E188" s="2" t="s">
        <v>1019</v>
      </c>
      <c r="F188" s="2" t="s">
        <v>1045</v>
      </c>
      <c r="V188" s="3"/>
    </row>
    <row r="189" spans="1:22" x14ac:dyDescent="0.25">
      <c r="C189" s="2" t="s">
        <v>940</v>
      </c>
      <c r="D189" s="2" t="s">
        <v>584</v>
      </c>
      <c r="E189" s="2" t="s">
        <v>1019</v>
      </c>
      <c r="F189" s="2" t="s">
        <v>1045</v>
      </c>
      <c r="V189" s="3"/>
    </row>
    <row r="190" spans="1:22" x14ac:dyDescent="0.25">
      <c r="C190" s="2" t="s">
        <v>941</v>
      </c>
      <c r="D190" s="2" t="s">
        <v>585</v>
      </c>
      <c r="E190" s="2" t="s">
        <v>1019</v>
      </c>
      <c r="F190" s="2" t="s">
        <v>1045</v>
      </c>
      <c r="V190" s="3"/>
    </row>
    <row r="191" spans="1:22" x14ac:dyDescent="0.25">
      <c r="C191" s="2" t="s">
        <v>942</v>
      </c>
      <c r="D191" s="2" t="s">
        <v>586</v>
      </c>
      <c r="E191" s="2" t="s">
        <v>1019</v>
      </c>
      <c r="F191" s="2" t="s">
        <v>1045</v>
      </c>
      <c r="V191" s="3"/>
    </row>
    <row r="192" spans="1:22" x14ac:dyDescent="0.25">
      <c r="A192" s="2" t="s">
        <v>587</v>
      </c>
      <c r="B192" s="2" t="s">
        <v>588</v>
      </c>
      <c r="C192" s="2" t="s">
        <v>943</v>
      </c>
      <c r="D192" s="2" t="s">
        <v>589</v>
      </c>
      <c r="E192" s="2" t="s">
        <v>1019</v>
      </c>
      <c r="F192" s="2" t="s">
        <v>1045</v>
      </c>
      <c r="V192" s="3"/>
    </row>
    <row r="193" spans="1:22" x14ac:dyDescent="0.25">
      <c r="A193" s="2" t="s">
        <v>590</v>
      </c>
      <c r="B193" s="2" t="s">
        <v>591</v>
      </c>
      <c r="C193" s="2" t="s">
        <v>944</v>
      </c>
      <c r="D193" s="2" t="s">
        <v>592</v>
      </c>
      <c r="E193" s="2" t="s">
        <v>1019</v>
      </c>
      <c r="F193" s="2" t="s">
        <v>1045</v>
      </c>
      <c r="V193" s="3"/>
    </row>
    <row r="194" spans="1:22" x14ac:dyDescent="0.25">
      <c r="A194" s="2" t="s">
        <v>593</v>
      </c>
      <c r="B194" s="2" t="s">
        <v>594</v>
      </c>
      <c r="C194" s="2" t="s">
        <v>945</v>
      </c>
      <c r="D194" s="2" t="s">
        <v>595</v>
      </c>
      <c r="E194" s="2" t="s">
        <v>1019</v>
      </c>
      <c r="F194" s="2" t="s">
        <v>1045</v>
      </c>
      <c r="V194" s="3"/>
    </row>
    <row r="195" spans="1:22" x14ac:dyDescent="0.25">
      <c r="A195" s="2" t="s">
        <v>596</v>
      </c>
      <c r="B195" s="2" t="s">
        <v>597</v>
      </c>
      <c r="C195" s="2" t="s">
        <v>946</v>
      </c>
      <c r="D195" s="2" t="s">
        <v>598</v>
      </c>
      <c r="E195" s="2" t="s">
        <v>1019</v>
      </c>
      <c r="F195" s="2" t="s">
        <v>1045</v>
      </c>
      <c r="V195" s="3"/>
    </row>
    <row r="196" spans="1:22" x14ac:dyDescent="0.25">
      <c r="A196" s="2" t="s">
        <v>599</v>
      </c>
      <c r="B196" s="2" t="s">
        <v>600</v>
      </c>
      <c r="C196" s="2" t="s">
        <v>947</v>
      </c>
      <c r="D196" s="2" t="s">
        <v>601</v>
      </c>
      <c r="E196" s="2" t="s">
        <v>1019</v>
      </c>
      <c r="F196" s="2" t="s">
        <v>1045</v>
      </c>
      <c r="V196" s="3"/>
    </row>
    <row r="197" spans="1:22" x14ac:dyDescent="0.25">
      <c r="A197" s="2" t="s">
        <v>602</v>
      </c>
      <c r="B197" s="2" t="s">
        <v>603</v>
      </c>
      <c r="C197" s="2" t="s">
        <v>948</v>
      </c>
      <c r="D197" s="2" t="s">
        <v>604</v>
      </c>
      <c r="E197" s="2" t="s">
        <v>1019</v>
      </c>
      <c r="F197" s="2" t="s">
        <v>1045</v>
      </c>
      <c r="V197" s="3"/>
    </row>
    <row r="198" spans="1:22" x14ac:dyDescent="0.25">
      <c r="A198" s="2" t="s">
        <v>605</v>
      </c>
      <c r="B198" s="2" t="s">
        <v>606</v>
      </c>
      <c r="C198" s="2" t="s">
        <v>949</v>
      </c>
      <c r="D198" s="2" t="s">
        <v>607</v>
      </c>
      <c r="E198" s="2" t="s">
        <v>1019</v>
      </c>
      <c r="F198" s="2" t="s">
        <v>1045</v>
      </c>
      <c r="V198" s="3"/>
    </row>
    <row r="199" spans="1:22" x14ac:dyDescent="0.25">
      <c r="A199" s="2" t="s">
        <v>608</v>
      </c>
      <c r="B199" s="2" t="s">
        <v>609</v>
      </c>
      <c r="C199" s="2" t="s">
        <v>950</v>
      </c>
      <c r="D199" s="2" t="s">
        <v>610</v>
      </c>
      <c r="E199" s="2" t="s">
        <v>1019</v>
      </c>
      <c r="F199" s="2" t="s">
        <v>1045</v>
      </c>
      <c r="V199" s="3"/>
    </row>
    <row r="200" spans="1:22" x14ac:dyDescent="0.25">
      <c r="A200" s="2" t="s">
        <v>611</v>
      </c>
      <c r="B200" s="2" t="s">
        <v>612</v>
      </c>
      <c r="C200" s="2" t="s">
        <v>951</v>
      </c>
      <c r="D200" s="2" t="s">
        <v>613</v>
      </c>
      <c r="E200" s="2" t="s">
        <v>1019</v>
      </c>
      <c r="F200" s="2" t="s">
        <v>1045</v>
      </c>
      <c r="V200" s="3"/>
    </row>
    <row r="201" spans="1:22" x14ac:dyDescent="0.25">
      <c r="A201" s="2" t="s">
        <v>614</v>
      </c>
      <c r="B201" s="2" t="s">
        <v>615</v>
      </c>
      <c r="C201" s="2" t="s">
        <v>952</v>
      </c>
      <c r="D201" s="2" t="s">
        <v>616</v>
      </c>
      <c r="E201" s="2" t="s">
        <v>1019</v>
      </c>
      <c r="F201" s="2" t="s">
        <v>1045</v>
      </c>
      <c r="V201" s="3"/>
    </row>
    <row r="202" spans="1:22" x14ac:dyDescent="0.25">
      <c r="A202" s="2" t="s">
        <v>617</v>
      </c>
      <c r="B202" s="2" t="s">
        <v>618</v>
      </c>
      <c r="C202" s="2" t="s">
        <v>953</v>
      </c>
      <c r="D202" s="2" t="s">
        <v>619</v>
      </c>
      <c r="E202" s="2" t="s">
        <v>1019</v>
      </c>
      <c r="F202" s="2" t="s">
        <v>1045</v>
      </c>
      <c r="V202" s="3"/>
    </row>
    <row r="203" spans="1:22" x14ac:dyDescent="0.25">
      <c r="A203" s="2" t="s">
        <v>620</v>
      </c>
      <c r="B203" s="2" t="s">
        <v>621</v>
      </c>
      <c r="C203" s="2" t="s">
        <v>954</v>
      </c>
      <c r="D203" s="2" t="s">
        <v>622</v>
      </c>
      <c r="E203" s="2" t="s">
        <v>1019</v>
      </c>
      <c r="F203" s="2" t="s">
        <v>1045</v>
      </c>
      <c r="V203" s="3"/>
    </row>
    <row r="204" spans="1:22" x14ac:dyDescent="0.25">
      <c r="A204" s="2" t="s">
        <v>623</v>
      </c>
      <c r="B204" s="2" t="s">
        <v>624</v>
      </c>
      <c r="C204" s="2" t="s">
        <v>955</v>
      </c>
      <c r="D204" s="2" t="s">
        <v>625</v>
      </c>
      <c r="E204" s="2" t="s">
        <v>1019</v>
      </c>
      <c r="F204" s="2" t="s">
        <v>1045</v>
      </c>
      <c r="V204" s="3"/>
    </row>
    <row r="205" spans="1:22" x14ac:dyDescent="0.25">
      <c r="A205" s="2" t="s">
        <v>626</v>
      </c>
      <c r="B205" s="2" t="s">
        <v>627</v>
      </c>
      <c r="C205" s="2" t="s">
        <v>956</v>
      </c>
      <c r="D205" s="2" t="s">
        <v>628</v>
      </c>
      <c r="E205" s="2" t="s">
        <v>1019</v>
      </c>
      <c r="F205" s="2" t="s">
        <v>1045</v>
      </c>
      <c r="V205" s="3"/>
    </row>
    <row r="206" spans="1:22" x14ac:dyDescent="0.25">
      <c r="A206" s="2" t="s">
        <v>629</v>
      </c>
      <c r="B206" s="2" t="s">
        <v>630</v>
      </c>
      <c r="C206" s="2" t="s">
        <v>957</v>
      </c>
      <c r="D206" s="2" t="s">
        <v>631</v>
      </c>
      <c r="E206" s="2" t="s">
        <v>1020</v>
      </c>
      <c r="F206" s="2">
        <v>0</v>
      </c>
      <c r="V206" s="3"/>
    </row>
    <row r="207" spans="1:22" x14ac:dyDescent="0.25">
      <c r="A207" s="2" t="s">
        <v>632</v>
      </c>
      <c r="B207" s="2" t="s">
        <v>633</v>
      </c>
      <c r="C207" s="2" t="s">
        <v>958</v>
      </c>
      <c r="D207" s="2" t="s">
        <v>634</v>
      </c>
      <c r="E207" s="2" t="s">
        <v>1020</v>
      </c>
      <c r="F207" s="2">
        <v>1</v>
      </c>
      <c r="V207" s="3"/>
    </row>
    <row r="208" spans="1:22" x14ac:dyDescent="0.25">
      <c r="A208" s="2" t="s">
        <v>635</v>
      </c>
      <c r="B208" s="2" t="s">
        <v>636</v>
      </c>
      <c r="C208" s="2" t="s">
        <v>959</v>
      </c>
      <c r="D208" s="2" t="s">
        <v>637</v>
      </c>
      <c r="E208" s="2" t="s">
        <v>1020</v>
      </c>
      <c r="F208" s="2">
        <v>0</v>
      </c>
      <c r="V208" s="3"/>
    </row>
    <row r="209" spans="1:22" x14ac:dyDescent="0.25">
      <c r="A209" s="2" t="s">
        <v>638</v>
      </c>
      <c r="B209" s="2" t="s">
        <v>639</v>
      </c>
      <c r="C209" s="2" t="s">
        <v>960</v>
      </c>
      <c r="D209" s="2" t="s">
        <v>640</v>
      </c>
      <c r="E209" s="2" t="s">
        <v>1020</v>
      </c>
      <c r="F209" s="2">
        <v>1</v>
      </c>
      <c r="V209" s="3"/>
    </row>
    <row r="210" spans="1:22" x14ac:dyDescent="0.25">
      <c r="A210" s="2" t="s">
        <v>641</v>
      </c>
      <c r="B210" s="2" t="s">
        <v>642</v>
      </c>
      <c r="C210" s="2" t="s">
        <v>961</v>
      </c>
      <c r="D210" s="2" t="s">
        <v>643</v>
      </c>
      <c r="E210" s="2" t="s">
        <v>1020</v>
      </c>
      <c r="F210" s="2">
        <v>0</v>
      </c>
      <c r="V210" s="3"/>
    </row>
    <row r="211" spans="1:22" x14ac:dyDescent="0.25">
      <c r="A211" s="2" t="s">
        <v>644</v>
      </c>
      <c r="B211" s="2" t="s">
        <v>645</v>
      </c>
      <c r="C211" s="2" t="s">
        <v>962</v>
      </c>
      <c r="D211" s="2" t="s">
        <v>646</v>
      </c>
      <c r="E211" s="2" t="s">
        <v>1020</v>
      </c>
      <c r="F211" s="2">
        <v>1</v>
      </c>
      <c r="V211" s="3"/>
    </row>
    <row r="212" spans="1:22" x14ac:dyDescent="0.25">
      <c r="A212" s="2" t="s">
        <v>647</v>
      </c>
      <c r="B212" s="2" t="s">
        <v>648</v>
      </c>
      <c r="C212" s="2" t="s">
        <v>963</v>
      </c>
      <c r="D212" s="2" t="s">
        <v>649</v>
      </c>
      <c r="E212" s="2" t="s">
        <v>1020</v>
      </c>
      <c r="F212" s="2">
        <v>0</v>
      </c>
      <c r="V212" s="3"/>
    </row>
    <row r="213" spans="1:22" x14ac:dyDescent="0.25">
      <c r="A213" s="2" t="s">
        <v>650</v>
      </c>
      <c r="B213" s="2" t="s">
        <v>651</v>
      </c>
      <c r="C213" s="2" t="s">
        <v>964</v>
      </c>
      <c r="D213" s="2" t="s">
        <v>652</v>
      </c>
      <c r="E213" s="2" t="s">
        <v>1020</v>
      </c>
      <c r="F213" s="2">
        <v>1</v>
      </c>
      <c r="V213" s="3"/>
    </row>
    <row r="214" spans="1:22" x14ac:dyDescent="0.25">
      <c r="A214" s="2" t="s">
        <v>653</v>
      </c>
      <c r="B214" s="2" t="s">
        <v>654</v>
      </c>
      <c r="C214" s="2" t="s">
        <v>965</v>
      </c>
      <c r="D214" s="2" t="s">
        <v>655</v>
      </c>
      <c r="E214" s="2" t="s">
        <v>1020</v>
      </c>
      <c r="F214" s="2">
        <v>0</v>
      </c>
      <c r="V214" s="3"/>
    </row>
    <row r="215" spans="1:22" x14ac:dyDescent="0.25">
      <c r="A215" s="2" t="s">
        <v>656</v>
      </c>
      <c r="B215" s="2" t="s">
        <v>657</v>
      </c>
      <c r="C215" s="2" t="s">
        <v>966</v>
      </c>
      <c r="D215" s="2" t="s">
        <v>658</v>
      </c>
      <c r="E215" s="2" t="s">
        <v>1020</v>
      </c>
      <c r="F215" s="2">
        <v>1</v>
      </c>
      <c r="V215" s="3"/>
    </row>
    <row r="216" spans="1:22" x14ac:dyDescent="0.25">
      <c r="A216" s="2" t="s">
        <v>659</v>
      </c>
      <c r="B216" s="2" t="s">
        <v>660</v>
      </c>
      <c r="C216" s="2" t="s">
        <v>967</v>
      </c>
      <c r="D216" s="2" t="s">
        <v>661</v>
      </c>
      <c r="E216" s="2" t="s">
        <v>1020</v>
      </c>
      <c r="F216" s="2" t="s">
        <v>1045</v>
      </c>
      <c r="V216" s="3"/>
    </row>
    <row r="217" spans="1:22" x14ac:dyDescent="0.25">
      <c r="A217" s="2" t="s">
        <v>662</v>
      </c>
      <c r="B217" s="2" t="s">
        <v>663</v>
      </c>
      <c r="C217" s="2" t="s">
        <v>968</v>
      </c>
      <c r="D217" s="2" t="s">
        <v>664</v>
      </c>
      <c r="E217" s="2" t="s">
        <v>1020</v>
      </c>
      <c r="F217" s="2" t="s">
        <v>1045</v>
      </c>
      <c r="V217" s="3"/>
    </row>
    <row r="218" spans="1:22" x14ac:dyDescent="0.25">
      <c r="A218" s="2" t="s">
        <v>665</v>
      </c>
      <c r="B218" s="2" t="s">
        <v>666</v>
      </c>
      <c r="C218" s="2" t="s">
        <v>969</v>
      </c>
      <c r="D218" s="2" t="s">
        <v>667</v>
      </c>
      <c r="E218" s="2" t="s">
        <v>1020</v>
      </c>
      <c r="F218" s="2" t="s">
        <v>1045</v>
      </c>
      <c r="V218" s="3"/>
    </row>
    <row r="219" spans="1:22" x14ac:dyDescent="0.25">
      <c r="A219" s="2" t="s">
        <v>668</v>
      </c>
      <c r="B219" s="2" t="s">
        <v>669</v>
      </c>
      <c r="C219" s="2" t="s">
        <v>970</v>
      </c>
      <c r="D219" s="2" t="s">
        <v>670</v>
      </c>
      <c r="E219" s="2" t="s">
        <v>1020</v>
      </c>
      <c r="F219" s="2" t="s">
        <v>1045</v>
      </c>
      <c r="V219" s="3"/>
    </row>
    <row r="220" spans="1:22" x14ac:dyDescent="0.25">
      <c r="A220" s="2" t="s">
        <v>671</v>
      </c>
      <c r="B220" s="2" t="s">
        <v>672</v>
      </c>
      <c r="C220" s="2" t="s">
        <v>971</v>
      </c>
      <c r="D220" s="2" t="s">
        <v>673</v>
      </c>
      <c r="E220" s="2" t="s">
        <v>1020</v>
      </c>
      <c r="F220" s="2" t="s">
        <v>1045</v>
      </c>
      <c r="V220" s="3"/>
    </row>
    <row r="221" spans="1:22" x14ac:dyDescent="0.25">
      <c r="A221" s="2" t="s">
        <v>674</v>
      </c>
      <c r="B221" s="2" t="s">
        <v>675</v>
      </c>
      <c r="C221" s="2" t="s">
        <v>972</v>
      </c>
      <c r="D221" s="2" t="s">
        <v>676</v>
      </c>
      <c r="E221" s="2" t="s">
        <v>1020</v>
      </c>
      <c r="F221" s="2" t="s">
        <v>1045</v>
      </c>
      <c r="V221" s="3"/>
    </row>
    <row r="222" spans="1:22" x14ac:dyDescent="0.25">
      <c r="A222" s="2" t="s">
        <v>677</v>
      </c>
      <c r="B222" s="2" t="s">
        <v>678</v>
      </c>
      <c r="C222" s="2" t="s">
        <v>973</v>
      </c>
      <c r="D222" s="2" t="s">
        <v>679</v>
      </c>
      <c r="E222" s="2" t="s">
        <v>1020</v>
      </c>
      <c r="F222" s="2" t="s">
        <v>1045</v>
      </c>
      <c r="V222" s="3"/>
    </row>
    <row r="223" spans="1:22" x14ac:dyDescent="0.25">
      <c r="A223" s="2" t="s">
        <v>680</v>
      </c>
      <c r="B223" s="2" t="s">
        <v>681</v>
      </c>
      <c r="C223" s="2" t="s">
        <v>974</v>
      </c>
      <c r="D223" s="2" t="s">
        <v>682</v>
      </c>
      <c r="E223" s="2" t="s">
        <v>1020</v>
      </c>
      <c r="F223" s="2" t="s">
        <v>1045</v>
      </c>
      <c r="V223" s="3"/>
    </row>
    <row r="224" spans="1:22" x14ac:dyDescent="0.25">
      <c r="A224" s="2" t="s">
        <v>683</v>
      </c>
      <c r="B224" s="2" t="s">
        <v>684</v>
      </c>
      <c r="C224" s="2" t="s">
        <v>975</v>
      </c>
      <c r="D224" s="2" t="s">
        <v>685</v>
      </c>
      <c r="E224" s="2" t="s">
        <v>1020</v>
      </c>
      <c r="F224" s="2" t="s">
        <v>1045</v>
      </c>
      <c r="V224" s="3"/>
    </row>
    <row r="225" spans="1:22" x14ac:dyDescent="0.25">
      <c r="A225" s="2" t="s">
        <v>686</v>
      </c>
      <c r="B225" s="2" t="s">
        <v>687</v>
      </c>
      <c r="C225" s="2" t="s">
        <v>976</v>
      </c>
      <c r="D225" s="2" t="s">
        <v>688</v>
      </c>
      <c r="E225" s="2" t="s">
        <v>1020</v>
      </c>
      <c r="F225" s="2" t="s">
        <v>1045</v>
      </c>
      <c r="V225" s="3"/>
    </row>
    <row r="226" spans="1:22" x14ac:dyDescent="0.25">
      <c r="A226" s="2" t="s">
        <v>689</v>
      </c>
      <c r="B226" s="2" t="s">
        <v>690</v>
      </c>
      <c r="C226" s="2" t="s">
        <v>977</v>
      </c>
      <c r="D226" s="2" t="s">
        <v>691</v>
      </c>
      <c r="E226" s="2" t="s">
        <v>1020</v>
      </c>
      <c r="F226" s="2" t="s">
        <v>1045</v>
      </c>
      <c r="V226" s="3"/>
    </row>
    <row r="227" spans="1:22" x14ac:dyDescent="0.25">
      <c r="A227" s="2" t="s">
        <v>149</v>
      </c>
      <c r="B227" s="2" t="s">
        <v>692</v>
      </c>
      <c r="C227" s="2" t="s">
        <v>978</v>
      </c>
      <c r="D227" s="2" t="s">
        <v>693</v>
      </c>
      <c r="E227" s="2" t="s">
        <v>1020</v>
      </c>
      <c r="F227" s="2">
        <v>0</v>
      </c>
      <c r="V227" s="3"/>
    </row>
    <row r="228" spans="1:22" x14ac:dyDescent="0.25">
      <c r="A228" s="2" t="s">
        <v>152</v>
      </c>
      <c r="B228" s="2" t="s">
        <v>694</v>
      </c>
      <c r="C228" s="2" t="s">
        <v>979</v>
      </c>
      <c r="D228" s="2" t="s">
        <v>695</v>
      </c>
      <c r="E228" s="2" t="s">
        <v>1020</v>
      </c>
      <c r="F228" s="2">
        <v>1</v>
      </c>
      <c r="V228" s="3"/>
    </row>
    <row r="229" spans="1:22" x14ac:dyDescent="0.25">
      <c r="A229" s="2" t="s">
        <v>696</v>
      </c>
      <c r="B229" s="2" t="s">
        <v>697</v>
      </c>
      <c r="C229" s="2" t="s">
        <v>980</v>
      </c>
      <c r="D229" s="2" t="s">
        <v>698</v>
      </c>
      <c r="E229" s="2" t="s">
        <v>1020</v>
      </c>
      <c r="F229" s="2">
        <v>0</v>
      </c>
      <c r="V229" s="3"/>
    </row>
    <row r="230" spans="1:22" x14ac:dyDescent="0.25">
      <c r="A230" s="2" t="s">
        <v>699</v>
      </c>
      <c r="B230" s="2" t="s">
        <v>700</v>
      </c>
      <c r="C230" s="2" t="s">
        <v>981</v>
      </c>
      <c r="D230" s="2" t="s">
        <v>701</v>
      </c>
      <c r="E230" s="2" t="s">
        <v>1020</v>
      </c>
      <c r="F230" s="2">
        <v>1</v>
      </c>
      <c r="V230" s="3"/>
    </row>
    <row r="231" spans="1:22" x14ac:dyDescent="0.25">
      <c r="A231" s="2" t="s">
        <v>702</v>
      </c>
      <c r="B231" s="2" t="s">
        <v>703</v>
      </c>
      <c r="C231" s="2" t="s">
        <v>982</v>
      </c>
      <c r="D231" s="2" t="s">
        <v>704</v>
      </c>
      <c r="E231" s="2" t="s">
        <v>1020</v>
      </c>
      <c r="F231" s="2">
        <v>0</v>
      </c>
      <c r="V231" s="3"/>
    </row>
    <row r="232" spans="1:22" x14ac:dyDescent="0.25">
      <c r="A232" s="2" t="s">
        <v>705</v>
      </c>
      <c r="B232" s="2" t="s">
        <v>706</v>
      </c>
      <c r="C232" s="2" t="s">
        <v>983</v>
      </c>
      <c r="D232" s="2" t="s">
        <v>707</v>
      </c>
      <c r="E232" s="2" t="s">
        <v>1020</v>
      </c>
      <c r="F232" s="2">
        <v>1</v>
      </c>
      <c r="V232" s="3"/>
    </row>
    <row r="233" spans="1:22" x14ac:dyDescent="0.25">
      <c r="A233" s="2" t="s">
        <v>708</v>
      </c>
      <c r="B233" s="2" t="s">
        <v>709</v>
      </c>
      <c r="C233" s="2" t="s">
        <v>984</v>
      </c>
      <c r="D233" s="2" t="s">
        <v>710</v>
      </c>
      <c r="E233" s="2" t="s">
        <v>1020</v>
      </c>
      <c r="F233" s="2">
        <v>0</v>
      </c>
      <c r="V233" s="3"/>
    </row>
    <row r="234" spans="1:22" x14ac:dyDescent="0.25">
      <c r="A234" s="2" t="s">
        <v>711</v>
      </c>
      <c r="B234" s="2" t="s">
        <v>712</v>
      </c>
      <c r="C234" s="2" t="s">
        <v>985</v>
      </c>
      <c r="D234" s="2" t="s">
        <v>713</v>
      </c>
      <c r="E234" s="2" t="s">
        <v>1020</v>
      </c>
      <c r="F234" s="2">
        <v>1</v>
      </c>
      <c r="V234" s="3"/>
    </row>
    <row r="235" spans="1:22" x14ac:dyDescent="0.25">
      <c r="A235" s="2" t="s">
        <v>714</v>
      </c>
      <c r="B235" s="2" t="s">
        <v>715</v>
      </c>
      <c r="C235" s="2" t="s">
        <v>986</v>
      </c>
      <c r="D235" s="2" t="s">
        <v>716</v>
      </c>
      <c r="E235" s="2" t="s">
        <v>1020</v>
      </c>
      <c r="F235" s="2">
        <v>0</v>
      </c>
      <c r="V235" s="3"/>
    </row>
    <row r="236" spans="1:22" x14ac:dyDescent="0.25">
      <c r="A236" s="2" t="s">
        <v>717</v>
      </c>
      <c r="B236" s="2" t="s">
        <v>718</v>
      </c>
      <c r="C236" s="2" t="s">
        <v>987</v>
      </c>
      <c r="D236" s="2" t="s">
        <v>719</v>
      </c>
      <c r="E236" s="2" t="s">
        <v>1020</v>
      </c>
      <c r="F236" s="2">
        <v>1</v>
      </c>
      <c r="V236" s="3"/>
    </row>
    <row r="237" spans="1:22" x14ac:dyDescent="0.25">
      <c r="A237" s="2" t="s">
        <v>720</v>
      </c>
      <c r="B237" s="2" t="s">
        <v>721</v>
      </c>
      <c r="C237" s="2" t="s">
        <v>988</v>
      </c>
      <c r="D237" s="2" t="s">
        <v>722</v>
      </c>
      <c r="E237" s="2" t="s">
        <v>1020</v>
      </c>
      <c r="F237" s="2">
        <v>0</v>
      </c>
      <c r="V237" s="3"/>
    </row>
    <row r="238" spans="1:22" x14ac:dyDescent="0.25">
      <c r="A238" s="2" t="s">
        <v>723</v>
      </c>
      <c r="B238" s="2" t="s">
        <v>724</v>
      </c>
      <c r="C238" s="2" t="s">
        <v>989</v>
      </c>
      <c r="D238" s="2" t="s">
        <v>725</v>
      </c>
      <c r="E238" s="2" t="s">
        <v>1020</v>
      </c>
      <c r="F238" s="2">
        <v>1</v>
      </c>
      <c r="V238" s="3"/>
    </row>
    <row r="239" spans="1:22" x14ac:dyDescent="0.25">
      <c r="A239" s="2" t="s">
        <v>726</v>
      </c>
      <c r="B239" s="2" t="s">
        <v>727</v>
      </c>
      <c r="C239" s="2" t="s">
        <v>990</v>
      </c>
      <c r="D239" s="2" t="s">
        <v>728</v>
      </c>
      <c r="E239" s="2" t="s">
        <v>1020</v>
      </c>
      <c r="F239" s="2" t="s">
        <v>1045</v>
      </c>
      <c r="V239" s="3"/>
    </row>
    <row r="240" spans="1:22" x14ac:dyDescent="0.25">
      <c r="A240" s="2" t="s">
        <v>729</v>
      </c>
      <c r="B240" s="2" t="s">
        <v>729</v>
      </c>
      <c r="C240" s="2" t="s">
        <v>991</v>
      </c>
      <c r="D240" s="2" t="s">
        <v>730</v>
      </c>
      <c r="E240" s="2" t="s">
        <v>1020</v>
      </c>
      <c r="F240" s="2" t="s">
        <v>1045</v>
      </c>
      <c r="V240" s="3"/>
    </row>
    <row r="241" spans="1:22" x14ac:dyDescent="0.25">
      <c r="A241" s="2" t="s">
        <v>731</v>
      </c>
      <c r="B241" s="2" t="s">
        <v>731</v>
      </c>
      <c r="C241" s="2" t="s">
        <v>992</v>
      </c>
      <c r="D241" s="2" t="s">
        <v>732</v>
      </c>
      <c r="E241" s="2" t="s">
        <v>1020</v>
      </c>
      <c r="F241" s="2" t="s">
        <v>1045</v>
      </c>
      <c r="V241" s="3"/>
    </row>
    <row r="242" spans="1:22" x14ac:dyDescent="0.25">
      <c r="A242" s="2" t="s">
        <v>733</v>
      </c>
      <c r="B242" s="2" t="s">
        <v>734</v>
      </c>
      <c r="C242" s="2" t="s">
        <v>993</v>
      </c>
      <c r="D242" s="2" t="s">
        <v>735</v>
      </c>
      <c r="E242" s="2" t="s">
        <v>1020</v>
      </c>
      <c r="F242" s="2" t="s">
        <v>1045</v>
      </c>
      <c r="V242" s="3"/>
    </row>
    <row r="243" spans="1:22" x14ac:dyDescent="0.25">
      <c r="A243" s="2" t="s">
        <v>736</v>
      </c>
      <c r="B243" s="2" t="s">
        <v>737</v>
      </c>
      <c r="C243" s="2" t="s">
        <v>994</v>
      </c>
      <c r="D243" s="2" t="s">
        <v>738</v>
      </c>
      <c r="E243" s="2" t="s">
        <v>1020</v>
      </c>
      <c r="F243" s="2" t="s">
        <v>1045</v>
      </c>
      <c r="V243" s="3"/>
    </row>
    <row r="244" spans="1:22" x14ac:dyDescent="0.25">
      <c r="A244" s="2" t="s">
        <v>739</v>
      </c>
      <c r="B244" s="2" t="s">
        <v>740</v>
      </c>
      <c r="C244" s="2" t="s">
        <v>995</v>
      </c>
      <c r="D244" s="2" t="s">
        <v>741</v>
      </c>
      <c r="E244" s="2" t="s">
        <v>1020</v>
      </c>
      <c r="F244" s="2" t="s">
        <v>1045</v>
      </c>
      <c r="V244" s="3"/>
    </row>
    <row r="245" spans="1:22" x14ac:dyDescent="0.25">
      <c r="A245" s="2" t="s">
        <v>742</v>
      </c>
      <c r="B245" s="2" t="s">
        <v>743</v>
      </c>
      <c r="C245" s="2" t="s">
        <v>996</v>
      </c>
      <c r="D245" s="2" t="s">
        <v>744</v>
      </c>
      <c r="E245" s="2" t="s">
        <v>1020</v>
      </c>
      <c r="F245" s="2" t="s">
        <v>1045</v>
      </c>
      <c r="V245" s="3"/>
    </row>
    <row r="246" spans="1:22" x14ac:dyDescent="0.25">
      <c r="A246" s="2" t="s">
        <v>745</v>
      </c>
      <c r="B246" s="2" t="s">
        <v>746</v>
      </c>
      <c r="C246" s="2" t="s">
        <v>997</v>
      </c>
      <c r="D246" s="2" t="s">
        <v>747</v>
      </c>
      <c r="E246" s="2" t="s">
        <v>1020</v>
      </c>
      <c r="F246" s="2" t="s">
        <v>1045</v>
      </c>
      <c r="V246" s="3"/>
    </row>
    <row r="247" spans="1:22" x14ac:dyDescent="0.25">
      <c r="A247" s="2" t="s">
        <v>748</v>
      </c>
      <c r="B247" s="2" t="s">
        <v>749</v>
      </c>
      <c r="C247" s="2" t="s">
        <v>998</v>
      </c>
      <c r="D247" s="2" t="s">
        <v>750</v>
      </c>
      <c r="E247" s="2" t="s">
        <v>1020</v>
      </c>
      <c r="F247" s="2" t="s">
        <v>1045</v>
      </c>
      <c r="V247" s="3"/>
    </row>
    <row r="248" spans="1:22" x14ac:dyDescent="0.25">
      <c r="A248" s="2" t="s">
        <v>751</v>
      </c>
      <c r="B248" s="2" t="s">
        <v>752</v>
      </c>
      <c r="C248" s="2" t="s">
        <v>999</v>
      </c>
      <c r="D248" s="2" t="s">
        <v>753</v>
      </c>
      <c r="E248" s="2" t="s">
        <v>1020</v>
      </c>
      <c r="F248" s="2" t="s">
        <v>1045</v>
      </c>
      <c r="V248" s="3"/>
    </row>
    <row r="249" spans="1:22" x14ac:dyDescent="0.25">
      <c r="A249" s="2" t="s">
        <v>754</v>
      </c>
      <c r="B249" s="2" t="s">
        <v>755</v>
      </c>
      <c r="C249" s="2" t="s">
        <v>1000</v>
      </c>
      <c r="D249" s="2" t="s">
        <v>756</v>
      </c>
      <c r="E249" s="2" t="s">
        <v>1020</v>
      </c>
      <c r="F249" s="2" t="s">
        <v>1045</v>
      </c>
      <c r="V249" s="3"/>
    </row>
    <row r="250" spans="1:22" x14ac:dyDescent="0.25">
      <c r="A250" s="2" t="s">
        <v>757</v>
      </c>
      <c r="B250" s="2" t="s">
        <v>758</v>
      </c>
      <c r="C250" s="2" t="s">
        <v>1001</v>
      </c>
      <c r="D250" s="2" t="s">
        <v>759</v>
      </c>
      <c r="E250" s="2" t="s">
        <v>1020</v>
      </c>
      <c r="F250" s="2" t="s">
        <v>1045</v>
      </c>
      <c r="V250" s="3"/>
    </row>
    <row r="251" spans="1:22" x14ac:dyDescent="0.25">
      <c r="A251" s="2" t="s">
        <v>760</v>
      </c>
      <c r="B251" s="2" t="s">
        <v>761</v>
      </c>
      <c r="C251" s="2" t="s">
        <v>1002</v>
      </c>
      <c r="D251" s="2" t="s">
        <v>762</v>
      </c>
      <c r="E251" s="2" t="s">
        <v>1020</v>
      </c>
      <c r="F251" s="2" t="s">
        <v>1045</v>
      </c>
      <c r="V251" s="3"/>
    </row>
    <row r="252" spans="1:22" x14ac:dyDescent="0.25">
      <c r="A252" s="2" t="s">
        <v>763</v>
      </c>
      <c r="B252" s="2" t="s">
        <v>764</v>
      </c>
      <c r="C252" s="2" t="s">
        <v>1003</v>
      </c>
      <c r="D252" s="2" t="s">
        <v>765</v>
      </c>
      <c r="E252" s="2" t="s">
        <v>1020</v>
      </c>
      <c r="F252" s="2" t="s">
        <v>1045</v>
      </c>
      <c r="V252" s="3"/>
    </row>
    <row r="253" spans="1:22" x14ac:dyDescent="0.25">
      <c r="A253" s="2" t="s">
        <v>766</v>
      </c>
      <c r="B253" s="2" t="s">
        <v>767</v>
      </c>
      <c r="C253" s="2" t="s">
        <v>1004</v>
      </c>
      <c r="D253" s="2" t="s">
        <v>768</v>
      </c>
      <c r="E253" s="2" t="s">
        <v>1020</v>
      </c>
      <c r="F253" s="2" t="s">
        <v>1045</v>
      </c>
      <c r="V253" s="3"/>
    </row>
    <row r="254" spans="1:22" x14ac:dyDescent="0.25">
      <c r="A254" s="2" t="s">
        <v>769</v>
      </c>
      <c r="B254" s="2" t="s">
        <v>770</v>
      </c>
      <c r="C254" s="2" t="s">
        <v>1005</v>
      </c>
      <c r="D254" s="2" t="s">
        <v>771</v>
      </c>
      <c r="E254" s="2" t="s">
        <v>1020</v>
      </c>
      <c r="F254" s="2" t="s">
        <v>1045</v>
      </c>
      <c r="V254" s="3"/>
    </row>
    <row r="255" spans="1:22" x14ac:dyDescent="0.25">
      <c r="A255" s="2" t="s">
        <v>772</v>
      </c>
      <c r="B255" s="2" t="s">
        <v>773</v>
      </c>
      <c r="C255" s="2" t="s">
        <v>1006</v>
      </c>
      <c r="D255" s="2" t="s">
        <v>774</v>
      </c>
      <c r="E255" s="2" t="s">
        <v>1020</v>
      </c>
      <c r="F255" s="2" t="s">
        <v>1045</v>
      </c>
      <c r="V255" s="3"/>
    </row>
    <row r="256" spans="1:22" x14ac:dyDescent="0.25">
      <c r="A256" s="2" t="s">
        <v>775</v>
      </c>
      <c r="B256" s="2" t="s">
        <v>519</v>
      </c>
      <c r="C256" s="2" t="s">
        <v>1007</v>
      </c>
      <c r="D256" s="2" t="s">
        <v>776</v>
      </c>
      <c r="E256" s="2" t="s">
        <v>1020</v>
      </c>
      <c r="F256" s="2" t="s">
        <v>1045</v>
      </c>
      <c r="V256" s="3"/>
    </row>
    <row r="257" spans="1:22" x14ac:dyDescent="0.25">
      <c r="A257" s="2" t="s">
        <v>777</v>
      </c>
      <c r="B257" s="2" t="s">
        <v>519</v>
      </c>
      <c r="C257" s="2" t="s">
        <v>1008</v>
      </c>
      <c r="D257" s="2" t="s">
        <v>778</v>
      </c>
      <c r="E257" s="2" t="s">
        <v>1020</v>
      </c>
      <c r="F257" s="2" t="s">
        <v>1045</v>
      </c>
      <c r="V257" s="3"/>
    </row>
    <row r="258" spans="1:22" x14ac:dyDescent="0.25">
      <c r="A258" s="2" t="s">
        <v>779</v>
      </c>
      <c r="B258" s="2" t="s">
        <v>780</v>
      </c>
      <c r="C258" s="2" t="s">
        <v>1009</v>
      </c>
      <c r="D258" s="2" t="s">
        <v>781</v>
      </c>
      <c r="E258" s="2" t="s">
        <v>1020</v>
      </c>
      <c r="F258" s="2" t="s">
        <v>1045</v>
      </c>
      <c r="V25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IPA</vt:lpstr>
      <vt:lpstr>features_ref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Phil .</cp:lastModifiedBy>
  <dcterms:created xsi:type="dcterms:W3CDTF">2018-01-07T02:10:30Z</dcterms:created>
  <dcterms:modified xsi:type="dcterms:W3CDTF">2022-10-01T19:55:08Z</dcterms:modified>
</cp:coreProperties>
</file>